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MA_Data_Analysis\"/>
    </mc:Choice>
  </mc:AlternateContent>
  <xr:revisionPtr revIDLastSave="0" documentId="13_ncr:1_{CD5C678E-962D-403B-829E-A7318C9F7227}" xr6:coauthVersionLast="47" xr6:coauthVersionMax="47" xr10:uidLastSave="{00000000-0000-0000-0000-000000000000}"/>
  <bookViews>
    <workbookView xWindow="-120" yWindow="-120" windowWidth="23280" windowHeight="11880" xr2:uid="{43AA21C4-ECB5-473B-B55C-60881D54CE76}"/>
  </bookViews>
  <sheets>
    <sheet name="MetaboA" sheetId="1" r:id="rId1"/>
    <sheet name="MetaboAList" sheetId="5" r:id="rId2"/>
    <sheet name="MetaboAPathwayList" sheetId="6" r:id="rId3"/>
    <sheet name="RAMP-DB" sheetId="3" r:id="rId4"/>
    <sheet name="IDSL.GO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6" i="1" l="1"/>
  <c r="V1" i="1"/>
</calcChain>
</file>

<file path=xl/sharedStrings.xml><?xml version="1.0" encoding="utf-8"?>
<sst xmlns="http://schemas.openxmlformats.org/spreadsheetml/2006/main" count="1018" uniqueCount="382">
  <si>
    <t>total</t>
  </si>
  <si>
    <t>expected</t>
  </si>
  <si>
    <t>hits</t>
  </si>
  <si>
    <t>Raw p</t>
  </si>
  <si>
    <t>Holm p</t>
  </si>
  <si>
    <t>FDR</t>
  </si>
  <si>
    <t>Pentose Phosphate Pathway</t>
  </si>
  <si>
    <t>Nucleotide Sugars Metabolism</t>
  </si>
  <si>
    <t>Warburg Effect</t>
  </si>
  <si>
    <t>Phospholipid Biosynthesis</t>
  </si>
  <si>
    <t>Starch and Sucrose Metabolism</t>
  </si>
  <si>
    <t>Fructose and Mannose Degradation</t>
  </si>
  <si>
    <t>Gluconeogenesis</t>
  </si>
  <si>
    <t>Galactose Metabolism</t>
  </si>
  <si>
    <t>Glycolysis</t>
  </si>
  <si>
    <t>De Novo Triacylglycerol Biosynthesis</t>
  </si>
  <si>
    <t>Glycerol Phosphate Shuttle</t>
  </si>
  <si>
    <t>Cardiolipin Biosynthesis</t>
  </si>
  <si>
    <t>Phosphatidylethanolamine Biosynthesis</t>
  </si>
  <si>
    <t>Citric Acid Cycle</t>
  </si>
  <si>
    <t>Phosphatidylcholine Biosynthesis</t>
  </si>
  <si>
    <t>Amino Sugar Metabolism</t>
  </si>
  <si>
    <t>ORA_SMPDB_custom</t>
  </si>
  <si>
    <t>Androgen and Estrogen Metabolism</t>
  </si>
  <si>
    <t>Androstenedione Metabolism</t>
  </si>
  <si>
    <t>Pterine Biosynthesis</t>
  </si>
  <si>
    <t>Porphyrin Metabolism</t>
  </si>
  <si>
    <t>Estrone Metabolism</t>
  </si>
  <si>
    <t>Retinol Metabolism</t>
  </si>
  <si>
    <t>Mitochondrial Electron Transport Chain</t>
  </si>
  <si>
    <t>ORA_KEGG_custom</t>
  </si>
  <si>
    <t>Glycerophospholipid metabolism</t>
  </si>
  <si>
    <t>Pentose phosphate pathway</t>
  </si>
  <si>
    <t>Amino sugar and nucleotide sugar metabolism</t>
  </si>
  <si>
    <t>Biosynthesis of various nucleotide sugars</t>
  </si>
  <si>
    <t>Neomycin, kanamycin and gentamicin biosynthesis</t>
  </si>
  <si>
    <t>Fructose and mannose metabolism</t>
  </si>
  <si>
    <t>Glycolysis / Gluconeogenesis</t>
  </si>
  <si>
    <t>Purine metabolism</t>
  </si>
  <si>
    <t>Arginine and proline metabolism</t>
  </si>
  <si>
    <t>Pyrimidine metabolism</t>
  </si>
  <si>
    <t>N-Glycan biosynthesis</t>
  </si>
  <si>
    <t>Glycerolipid metabolism</t>
  </si>
  <si>
    <t>Ether lipid metabolism</t>
  </si>
  <si>
    <t>Pentose and glucuronate interconversions</t>
  </si>
  <si>
    <t>Folate biosynthesis</t>
  </si>
  <si>
    <t>Ascorbate and aldarate metabolism</t>
  </si>
  <si>
    <t>Starch and sucrose metabolism</t>
  </si>
  <si>
    <t>ORA_RAMP_custom</t>
  </si>
  <si>
    <t>Glucose-6-phosphate dehydrogenase deficiency</t>
  </si>
  <si>
    <t>1.42E-07</t>
  </si>
  <si>
    <t>Ribose-5-phosphate isomerase deficiency</t>
  </si>
  <si>
    <t>Transaldolase deficiency</t>
  </si>
  <si>
    <t>Glucuronidation</t>
  </si>
  <si>
    <t>6.14E-07</t>
  </si>
  <si>
    <t>Metabolism of carbohydrates</t>
  </si>
  <si>
    <t>9.22E-07</t>
  </si>
  <si>
    <t>1.46E-06</t>
  </si>
  <si>
    <t>Phosphatidylcholine catabolism</t>
  </si>
  <si>
    <t>5.25E-06</t>
  </si>
  <si>
    <t>Metabolic epileptic disorders</t>
  </si>
  <si>
    <t>6.10E-06</t>
  </si>
  <si>
    <t>Aerobic glycolysis - augmented</t>
  </si>
  <si>
    <t>6.28E-06</t>
  </si>
  <si>
    <t>7.45E-06</t>
  </si>
  <si>
    <t>Glycogen synthetase deficiency</t>
  </si>
  <si>
    <t>Glycogenosis, Type III. Cori disease, Debrancher glycogenosis</t>
  </si>
  <si>
    <t>Glycogenosis, Type IV. Amylopectinosis, Anderson disease</t>
  </si>
  <si>
    <t>Glycogenosis, Type VI. Hers disease</t>
  </si>
  <si>
    <t>Mucopolysaccharidosis VI. Sly syndrome</t>
  </si>
  <si>
    <t>Sucrase-isomaltase deficiency</t>
  </si>
  <si>
    <t>Phosphate bond hydrolysis by NTPDase proteins</t>
  </si>
  <si>
    <t>8.77E-06</t>
  </si>
  <si>
    <t>Cori cycle</t>
  </si>
  <si>
    <t>Glycerophospholipid biosynthesis</t>
  </si>
  <si>
    <t>1.06E-05</t>
  </si>
  <si>
    <t>Hydrolysis of LPC</t>
  </si>
  <si>
    <t>1.11E-05</t>
  </si>
  <si>
    <t>Pentose phosphate metabolism</t>
  </si>
  <si>
    <t>Metabolism of nucleotides</t>
  </si>
  <si>
    <t>1.23E-05</t>
  </si>
  <si>
    <t>Nucleotide catabolism</t>
  </si>
  <si>
    <t>1.56E-05</t>
  </si>
  <si>
    <t>Formation of the active cofactor, UDP-glucuronate</t>
  </si>
  <si>
    <t>1.58E-05</t>
  </si>
  <si>
    <t>Acetylcholine synthesis</t>
  </si>
  <si>
    <t>1.59E-05</t>
  </si>
  <si>
    <t>Phospholipid metabolism</t>
  </si>
  <si>
    <t>1.83E-05</t>
  </si>
  <si>
    <t>Glycerophospholipid catabolism</t>
  </si>
  <si>
    <t>2.16E-05</t>
  </si>
  <si>
    <t>Metabolism of proteins</t>
  </si>
  <si>
    <t>2.45E-05</t>
  </si>
  <si>
    <t>Purine ribonucleoside monophosphate biosynthesis</t>
  </si>
  <si>
    <t>3.72E-05</t>
  </si>
  <si>
    <t>Metabolic reprogramming in colon cancer</t>
  </si>
  <si>
    <t>4.15E-05</t>
  </si>
  <si>
    <t>Transmission across Chemical Synapses</t>
  </si>
  <si>
    <t>4.66E-05</t>
  </si>
  <si>
    <t>Neuronal System</t>
  </si>
  <si>
    <t>Post-translational protein modification</t>
  </si>
  <si>
    <t>4.89E-05</t>
  </si>
  <si>
    <t>Glucose metabolism</t>
  </si>
  <si>
    <t>5.63E-05</t>
  </si>
  <si>
    <t>5.87E-05</t>
  </si>
  <si>
    <t>Galactosemia II (GALK)</t>
  </si>
  <si>
    <t>Galactosemia III</t>
  </si>
  <si>
    <t>10q11.21q11.23 copy number variation syndrome</t>
  </si>
  <si>
    <t>HIF1A and PPARG in cardiac hypertropthy</t>
  </si>
  <si>
    <t>7.20E-05</t>
  </si>
  <si>
    <t>Integration of energy metabolism</t>
  </si>
  <si>
    <t>8.91E-05</t>
  </si>
  <si>
    <t>Neurotransmitter release cycle</t>
  </si>
  <si>
    <t>9.70E-05</t>
  </si>
  <si>
    <t>Pentose phosphate pathway in senescent cells</t>
  </si>
  <si>
    <t>Nucleotide biosynthesis</t>
  </si>
  <si>
    <t>Deadenylation of mRNA</t>
  </si>
  <si>
    <t>Glycosphingolipid catabolism</t>
  </si>
  <si>
    <t>Sialylation</t>
  </si>
  <si>
    <t>Synthesis of PA</t>
  </si>
  <si>
    <t>Abacavir metabolism</t>
  </si>
  <si>
    <t>Phosphate bond hydrolysis by NUDT proteins</t>
  </si>
  <si>
    <t>Proteoglycan biosynthesis</t>
  </si>
  <si>
    <t>Sildenafil treatment</t>
  </si>
  <si>
    <t>UDP-derived sugars synthesis in fibroblasts</t>
  </si>
  <si>
    <t>Neurotransmitter clearance</t>
  </si>
  <si>
    <t>PI Metabolism</t>
  </si>
  <si>
    <t>Abacavir ADME</t>
  </si>
  <si>
    <t>tRNA modification in the nucleus and cytosol</t>
  </si>
  <si>
    <t>Total</t>
  </si>
  <si>
    <t>Expected</t>
  </si>
  <si>
    <t>Hits</t>
  </si>
  <si>
    <t>Holm adjust</t>
  </si>
  <si>
    <t>Impact</t>
  </si>
  <si>
    <t>Inositol phosphate metabolism</t>
  </si>
  <si>
    <t>ORA_SMPDB_default</t>
  </si>
  <si>
    <t>ORA_KEGG_default</t>
  </si>
  <si>
    <t>ORA_RAMP_default</t>
  </si>
  <si>
    <t>Pathway_KEGG_default</t>
  </si>
  <si>
    <t>GO_ID</t>
  </si>
  <si>
    <t>GO_DESCRIPTION</t>
  </si>
  <si>
    <t>GO_LINKED_COMPOUNDS</t>
  </si>
  <si>
    <t>GO_LINKED_COMPOUNDS_TOTAL</t>
  </si>
  <si>
    <t>INPUT_COMPOUNDS</t>
  </si>
  <si>
    <t>OVERLAP</t>
  </si>
  <si>
    <t>PVALUE_HYPER_RAW</t>
  </si>
  <si>
    <t>PVALUE_ADJ_FDR</t>
  </si>
  <si>
    <t>GO:0009225</t>
  </si>
  <si>
    <t>nucleotide-sugar metabolic process</t>
  </si>
  <si>
    <t>GO:0006029</t>
  </si>
  <si>
    <t>proteoglycan metabolic process</t>
  </si>
  <si>
    <t>GO:0061621</t>
  </si>
  <si>
    <t>canonical glycolysis</t>
  </si>
  <si>
    <t>GO:0061615</t>
  </si>
  <si>
    <t>glycolytic process through fructose-6-phosphate</t>
  </si>
  <si>
    <t>GO:0061620</t>
  </si>
  <si>
    <t>glycolytic process through glucose-6-phosphate</t>
  </si>
  <si>
    <t>GO:0050435</t>
  </si>
  <si>
    <t>amyloid-beta metabolic process</t>
  </si>
  <si>
    <t>GO:0030204</t>
  </si>
  <si>
    <t>chondroitin sulfate metabolic process</t>
  </si>
  <si>
    <t>GO:1903510</t>
  </si>
  <si>
    <t>mucopolysaccharide metabolic process</t>
  </si>
  <si>
    <t>GO:0046039</t>
  </si>
  <si>
    <t>GTP metabolic process</t>
  </si>
  <si>
    <t>GO:0006011</t>
  </si>
  <si>
    <t>UDP-glucose metabolic process</t>
  </si>
  <si>
    <t>GO:0032957</t>
  </si>
  <si>
    <t>inositol trisphosphate metabolic process</t>
  </si>
  <si>
    <t>GO:0046056</t>
  </si>
  <si>
    <t>dADP metabolic process</t>
  </si>
  <si>
    <t>GO:0043647</t>
  </si>
  <si>
    <t>inositol phosphate metabolic process</t>
  </si>
  <si>
    <t>GO:0045005</t>
  </si>
  <si>
    <t>DNA-dependent DNA replication maintenance of fidelity</t>
  </si>
  <si>
    <t>GO:0009182</t>
  </si>
  <si>
    <t>purine deoxyribonucleoside diphosphate metabolic process</t>
  </si>
  <si>
    <t>GO:0051156</t>
  </si>
  <si>
    <t>glucose 6-phosphate metabolic process</t>
  </si>
  <si>
    <t>GO:0009186</t>
  </si>
  <si>
    <t>deoxyribonucleoside diphosphate metabolic process</t>
  </si>
  <si>
    <t>GO:0005984</t>
  </si>
  <si>
    <t>disaccharide metabolic process</t>
  </si>
  <si>
    <t>GO:0010586</t>
  </si>
  <si>
    <t>miRNA metabolic process</t>
  </si>
  <si>
    <t>GO:0019321</t>
  </si>
  <si>
    <t>pentose metabolic process</t>
  </si>
  <si>
    <t>GO:0030203</t>
  </si>
  <si>
    <t>glycosaminoglycan metabolic process</t>
  </si>
  <si>
    <t>GO:0006360</t>
  </si>
  <si>
    <t>transcription by RNA polymerase I</t>
  </si>
  <si>
    <t>GO:0006022</t>
  </si>
  <si>
    <t>aminoglycan metabolic process</t>
  </si>
  <si>
    <t>GO:0006366</t>
  </si>
  <si>
    <t>transcription by RNA polymerase II</t>
  </si>
  <si>
    <t>GO:0019254</t>
  </si>
  <si>
    <t>carnitine metabolic process, CoA-linked</t>
  </si>
  <si>
    <t>GO:1901071</t>
  </si>
  <si>
    <t>glucosamine-containing compound metabolic process</t>
  </si>
  <si>
    <t>GO:0015949</t>
  </si>
  <si>
    <t>nucleobase-containing small molecule interconversion</t>
  </si>
  <si>
    <t>GO:0042982</t>
  </si>
  <si>
    <t>amyloid precursor protein metabolic process</t>
  </si>
  <si>
    <t>GO:0009051</t>
  </si>
  <si>
    <t>pentose-phosphate shunt, oxidative branch</t>
  </si>
  <si>
    <t>GO:0046339</t>
  </si>
  <si>
    <t>diacylglycerol metabolic process</t>
  </si>
  <si>
    <t>GO:0006047</t>
  </si>
  <si>
    <t>UDP-N-acetylglucosamine metabolic process</t>
  </si>
  <si>
    <t>GO:0009196</t>
  </si>
  <si>
    <t>pyrimidine deoxyribonucleoside diphosphate metabolic process</t>
  </si>
  <si>
    <t>GO:0046072</t>
  </si>
  <si>
    <t>dTDP metabolic process</t>
  </si>
  <si>
    <t>GO:0046077</t>
  </si>
  <si>
    <t>dUDP metabolic process</t>
  </si>
  <si>
    <t>GO:0046031</t>
  </si>
  <si>
    <t>ADP metabolic process</t>
  </si>
  <si>
    <t>GO:0006283</t>
  </si>
  <si>
    <t>transcription-coupled nucleotide-excision repair</t>
  </si>
  <si>
    <t>GO:0090398</t>
  </si>
  <si>
    <t>cellular senescence</t>
  </si>
  <si>
    <t>GO:0019673</t>
  </si>
  <si>
    <t>GDP-mannose metabolic process</t>
  </si>
  <si>
    <t>GO:0019682</t>
  </si>
  <si>
    <t>glyceraldehyde-3-phosphate metabolic process</t>
  </si>
  <si>
    <t>GO:0006098</t>
  </si>
  <si>
    <t>pentose-phosphate shunt</t>
  </si>
  <si>
    <t>GO:0016073</t>
  </si>
  <si>
    <t>snRNA metabolic process</t>
  </si>
  <si>
    <t>GO:0046487</t>
  </si>
  <si>
    <t>glyoxylate metabolic process</t>
  </si>
  <si>
    <t>GO:0008334</t>
  </si>
  <si>
    <t>histone mRNA metabolic process</t>
  </si>
  <si>
    <t>GO:0050654</t>
  </si>
  <si>
    <t>chondroitin sulfate proteoglycan metabolic process</t>
  </si>
  <si>
    <t>GO:0046058</t>
  </si>
  <si>
    <t>cAMP metabolic process</t>
  </si>
  <si>
    <t>GO:0009135</t>
  </si>
  <si>
    <t>purine nucleoside diphosphate metabolic process</t>
  </si>
  <si>
    <t>GO:0009179</t>
  </si>
  <si>
    <t>purine ribonucleoside diphosphate metabolic process</t>
  </si>
  <si>
    <t>GO:0046070</t>
  </si>
  <si>
    <t>dGTP metabolic process</t>
  </si>
  <si>
    <t>GO:0001172</t>
  </si>
  <si>
    <t>transcription, RNA-templated</t>
  </si>
  <si>
    <t>GO:0006269</t>
  </si>
  <si>
    <t>DNA replication, synthesis of RNA primer</t>
  </si>
  <si>
    <t>GO:0072350</t>
  </si>
  <si>
    <t>tricarboxylic acid metabolic process</t>
  </si>
  <si>
    <t>GO:0009211</t>
  </si>
  <si>
    <t>pyrimidine deoxyribonucleoside triphosphate metabolic process</t>
  </si>
  <si>
    <t>GO:0046075</t>
  </si>
  <si>
    <t>dTTP metabolic process</t>
  </si>
  <si>
    <t>GO:0042789</t>
  </si>
  <si>
    <t>mRNA transcription by RNA polymerase II</t>
  </si>
  <si>
    <t>GO:0046051</t>
  </si>
  <si>
    <t>UTP metabolic process</t>
  </si>
  <si>
    <t>GO:0034587</t>
  </si>
  <si>
    <t>piRNA metabolic process</t>
  </si>
  <si>
    <t>GO:0000731</t>
  </si>
  <si>
    <t>DNA synthesis involved in DNA repair</t>
  </si>
  <si>
    <t>GO:0140651</t>
  </si>
  <si>
    <t>futile creatine cycle</t>
  </si>
  <si>
    <t>GO:0006012</t>
  </si>
  <si>
    <t>galactose metabolic process</t>
  </si>
  <si>
    <t>GO:0052652</t>
  </si>
  <si>
    <t>cyclic purine nucleotide metabolic process</t>
  </si>
  <si>
    <t>GO:0006301</t>
  </si>
  <si>
    <t>postreplication repair</t>
  </si>
  <si>
    <t>GO:0006687</t>
  </si>
  <si>
    <t>glycosphingolipid metabolic process</t>
  </si>
  <si>
    <t>GO:0030242</t>
  </si>
  <si>
    <t>autophagy of peroxisome</t>
  </si>
  <si>
    <t>GO:0090305</t>
  </si>
  <si>
    <t>nucleic acid phosphodiester bond hydrolysis</t>
  </si>
  <si>
    <t>GO:0006044</t>
  </si>
  <si>
    <t>N-acetylglucosamine metabolic process</t>
  </si>
  <si>
    <t>GO:0006505</t>
  </si>
  <si>
    <t>GPI anchor metabolic process</t>
  </si>
  <si>
    <t>GO:0000723</t>
  </si>
  <si>
    <t>telomere maintenance</t>
  </si>
  <si>
    <t>GO:0046036</t>
  </si>
  <si>
    <t>CTP metabolic process</t>
  </si>
  <si>
    <t>GO:0033619</t>
  </si>
  <si>
    <t>membrane protein proteolysis</t>
  </si>
  <si>
    <t>GO:0035196</t>
  </si>
  <si>
    <t>production of miRNAs involved in gene silencing by miRNA</t>
  </si>
  <si>
    <t>GO:0000460</t>
  </si>
  <si>
    <t>maturation of 5.8S rRNA</t>
  </si>
  <si>
    <t>GO:0006002</t>
  </si>
  <si>
    <t>fructose 6-phosphate metabolic process</t>
  </si>
  <si>
    <t>GO:0019985</t>
  </si>
  <si>
    <t>translesion synthesis</t>
  </si>
  <si>
    <t>GO:0000725</t>
  </si>
  <si>
    <t>recombinational repair</t>
  </si>
  <si>
    <t>GO:0000422</t>
  </si>
  <si>
    <t>autophagy of mitochondrion</t>
  </si>
  <si>
    <t>GO:0006368</t>
  </si>
  <si>
    <t>transcription elongation from RNA polymerase II promoter</t>
  </si>
  <si>
    <t>GO:0009215</t>
  </si>
  <si>
    <t>purine deoxyribonucleoside triphosphate metabolic process</t>
  </si>
  <si>
    <t>GO:0006000</t>
  </si>
  <si>
    <t>fructose metabolic process</t>
  </si>
  <si>
    <t>Betaine Metabolism</t>
  </si>
  <si>
    <t>Lysine Degradation</t>
  </si>
  <si>
    <t>Glycerolipid Metabolism</t>
  </si>
  <si>
    <t>Pathway_SMPDB_default</t>
  </si>
  <si>
    <t>Pathway_KEGG_custom</t>
  </si>
  <si>
    <t>Pval</t>
  </si>
  <si>
    <t>Pval_FDR</t>
  </si>
  <si>
    <t>Pval_Holm</t>
  </si>
  <si>
    <t>Total_In_Path</t>
  </si>
  <si>
    <t>analytes</t>
  </si>
  <si>
    <t>pathwayName</t>
  </si>
  <si>
    <t>pathCount</t>
  </si>
  <si>
    <t>39</t>
  </si>
  <si>
    <t>UTP  |  Uridine diphosphate-N-acetylglucosamine  |  N-Acetyl-glucosamine 1-phosphate  |  Glucose 6-phosphate  |  Uridine diphosphate glucuronic acid</t>
  </si>
  <si>
    <t>kegg</t>
  </si>
  <si>
    <t>5/39</t>
  </si>
  <si>
    <t>30</t>
  </si>
  <si>
    <t>AMP  |  D-Sedoheptulose 7-phosphate  |  6-Phosphogluconic acid</t>
  </si>
  <si>
    <t>reactome</t>
  </si>
  <si>
    <t>3/30</t>
  </si>
  <si>
    <t>9</t>
  </si>
  <si>
    <t>Glycerophosphocholine  |  Glycerol 3-phosphate  |  Choline</t>
  </si>
  <si>
    <t>3/9</t>
  </si>
  <si>
    <t>28</t>
  </si>
  <si>
    <t>Glycerophosphocholine  |  Glycerol 3-phosphate  |  GTP  |  Choline</t>
  </si>
  <si>
    <t>4/28</t>
  </si>
  <si>
    <t>11</t>
  </si>
  <si>
    <t>3/11</t>
  </si>
  <si>
    <t>26</t>
  </si>
  <si>
    <t>AMP  |  UTP  |  dTTP</t>
  </si>
  <si>
    <t>3/26</t>
  </si>
  <si>
    <t>25</t>
  </si>
  <si>
    <t>cis-Aconitic acid  |  GTP  |  NADH</t>
  </si>
  <si>
    <t>TCA cycle (aka Krebs or citric acid cycle)</t>
  </si>
  <si>
    <t>wiki</t>
  </si>
  <si>
    <t>3/25</t>
  </si>
  <si>
    <t>24</t>
  </si>
  <si>
    <t>AMP  |  Fructose 1,6-bisphosphate  |  NADH  |  Phosphocreatine</t>
  </si>
  <si>
    <t>4/24</t>
  </si>
  <si>
    <t>20</t>
  </si>
  <si>
    <t>AMP  |  Fructose 1,6-bisphosphate  |  NADH</t>
  </si>
  <si>
    <t>Aerobic glycolysis</t>
  </si>
  <si>
    <t>3/20</t>
  </si>
  <si>
    <t>D-Sedoheptulose 7-phosphate  |  6-Phosphogluconic acid  |  Glucose 6-phosphate</t>
  </si>
  <si>
    <t>18</t>
  </si>
  <si>
    <t>3/18</t>
  </si>
  <si>
    <t>16</t>
  </si>
  <si>
    <t>Glycerol 3-phosphate  |  Fructose 1,6-bisphosphate  |  NADH</t>
  </si>
  <si>
    <t>3/16</t>
  </si>
  <si>
    <t>14</t>
  </si>
  <si>
    <t>UTP  |  Glucose 6-phosphate  |  NADH  |  Uridine diphosphate glucuronic acid</t>
  </si>
  <si>
    <t>4/14</t>
  </si>
  <si>
    <t>10</t>
  </si>
  <si>
    <t>Glycerophosphocholine  |  Choline  |  Acetylcholine</t>
  </si>
  <si>
    <t>3/10</t>
  </si>
  <si>
    <t>57</t>
  </si>
  <si>
    <t>Glycerol 3-phosphate  |  NADH  |  CDP-ethanolamine  |  Choline</t>
  </si>
  <si>
    <t>Glycerophospholipid biosynthetic pathway</t>
  </si>
  <si>
    <t>4/57</t>
  </si>
  <si>
    <t>23</t>
  </si>
  <si>
    <t>Glycerophosphocholine  |  Glycerol 3-phosphate  |  Choline  |  Acetylcholine</t>
  </si>
  <si>
    <t>4/23</t>
  </si>
  <si>
    <t>Fructose 1,6-bisphosphate  |  6-Phosphogluconic acid  |  Glucose 6-phosphate  |  NADH</t>
  </si>
  <si>
    <t>4/26</t>
  </si>
  <si>
    <t>29</t>
  </si>
  <si>
    <t>Glycerol 3-phosphate  |  CDP-ethanolamine  |  Choline</t>
  </si>
  <si>
    <t>Glycerolipids and glycerophospholipids</t>
  </si>
  <si>
    <t>3/29</t>
  </si>
  <si>
    <t>38</t>
  </si>
  <si>
    <t>Fructose 1,6-bisphosphate  |  D-Sedoheptulose 7-phosphate  |  6-Phosphogluconic acid  |  Glucose 6-phosphate</t>
  </si>
  <si>
    <t>4/38</t>
  </si>
  <si>
    <t>Synthesis of PG</t>
  </si>
  <si>
    <t>GO LINKED COMP</t>
  </si>
  <si>
    <t>GO LINKED COMP TOTAL</t>
  </si>
  <si>
    <t>INPUT COMP</t>
  </si>
  <si>
    <t>PVALUE HYPER RAW</t>
  </si>
  <si>
    <t>PVALUE ADJ FDR</t>
  </si>
  <si>
    <t>Exp.</t>
  </si>
  <si>
    <t>Holm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</si>
</sst>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0000"/>
    <numFmt numFmtId="166" formatCode="0.0000"/>
    <numFmt numFmtId="167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Verdana"/>
      <family val="2"/>
    </font>
    <font>
      <sz val="9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0" fontId="0" fillId="6" borderId="0" xfId="0" applyFill="1"/>
    <xf numFmtId="0" fontId="3" fillId="7" borderId="0" xfId="0" applyFont="1" applyFill="1"/>
    <xf numFmtId="0" fontId="3" fillId="4" borderId="0" xfId="0" applyFont="1" applyFill="1"/>
    <xf numFmtId="0" fontId="3" fillId="6" borderId="0" xfId="0" applyFont="1" applyFill="1"/>
    <xf numFmtId="0" fontId="3" fillId="5" borderId="0" xfId="0" applyFont="1" applyFill="1"/>
    <xf numFmtId="0" fontId="1" fillId="0" borderId="0" xfId="0" applyFont="1"/>
    <xf numFmtId="0" fontId="0" fillId="8" borderId="1" xfId="0" applyFill="1" applyBorder="1"/>
    <xf numFmtId="0" fontId="0" fillId="8" borderId="2" xfId="0" applyFill="1" applyBorder="1"/>
    <xf numFmtId="0" fontId="0" fillId="10" borderId="0" xfId="0" applyFill="1"/>
    <xf numFmtId="0" fontId="2" fillId="0" borderId="0" xfId="0" applyFont="1"/>
    <xf numFmtId="0" fontId="0" fillId="12" borderId="0" xfId="0" applyFill="1"/>
    <xf numFmtId="0" fontId="0" fillId="10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11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5" fillId="7" borderId="0" xfId="0" applyFont="1" applyFill="1"/>
    <xf numFmtId="0" fontId="5" fillId="4" borderId="0" xfId="0" applyFont="1" applyFill="1"/>
    <xf numFmtId="0" fontId="5" fillId="6" borderId="0" xfId="0" applyFont="1" applyFill="1"/>
    <xf numFmtId="0" fontId="5" fillId="5" borderId="0" xfId="0" applyFont="1" applyFill="1"/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3" borderId="3" xfId="0" applyFill="1" applyBorder="1" applyAlignment="1">
      <alignment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9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FF7CA-09E1-4A0B-B4F3-7DB9E8240838}" name="Table3" displayName="Table3" ref="A1:H79" totalsRowShown="0" dataDxfId="18">
  <autoFilter ref="A1:H79" xr:uid="{DF1FF7CA-09E1-4A0B-B4F3-7DB9E8240838}"/>
  <sortState xmlns:xlrd2="http://schemas.microsoft.com/office/spreadsheetml/2017/richdata2" ref="A2:H79">
    <sortCondition ref="H1:H79"/>
  </sortState>
  <tableColumns count="8">
    <tableColumn id="1" xr3:uid="{F0156002-DB1D-4DD9-881B-8AD3BFA89F74}" name="GO_ID" dataDxfId="17"/>
    <tableColumn id="2" xr3:uid="{EB9432A8-C927-4C00-BA2F-A6B0B4F2769F}" name="GO_DESCRIPTION" dataDxfId="16"/>
    <tableColumn id="3" xr3:uid="{873EA2C5-88C3-4794-8D30-6D29B51D57CD}" name="GO_LINKED_COMPOUNDS" dataDxfId="15"/>
    <tableColumn id="4" xr3:uid="{75A4FA76-8F39-49B3-A132-EF58DCA4CBC0}" name="GO_LINKED_COMPOUNDS_TOTAL" dataDxfId="14"/>
    <tableColumn id="5" xr3:uid="{79B121E5-EB60-46D0-A65B-B7967DE9C2D6}" name="INPUT_COMPOUNDS" dataDxfId="13"/>
    <tableColumn id="6" xr3:uid="{691E9734-2028-4C89-9C0A-BA4C7C08413A}" name="OVERLAP" dataDxfId="12"/>
    <tableColumn id="7" xr3:uid="{E93A3DF9-112A-4414-A3A5-0C4FC45C97A3}" name="PVALUE_HYPER_RAW" dataDxfId="11"/>
    <tableColumn id="8" xr3:uid="{985F399A-E4B4-4A4C-8FB9-1FD682618971}" name="PVALUE_ADJ_FDR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8A02C-53A0-4F1B-B867-5601C3051D0A}" name="Table33" displayName="Table33" ref="K1:R79" totalsRowShown="0" headerRowDxfId="9" dataDxfId="8">
  <autoFilter ref="K1:R79" xr:uid="{96E8A02C-53A0-4F1B-B867-5601C3051D0A}"/>
  <sortState xmlns:xlrd2="http://schemas.microsoft.com/office/spreadsheetml/2017/richdata2" ref="K2:R79">
    <sortCondition ref="R1:R79"/>
  </sortState>
  <tableColumns count="8">
    <tableColumn id="1" xr3:uid="{A8147BBC-7E00-4C99-82EE-66A25018BFC8}" name="GO_ID" dataDxfId="7"/>
    <tableColumn id="2" xr3:uid="{5B38B1EA-7C96-426F-B8AD-0F1D30E5B7CD}" name="GO_DESCRIPTION" dataDxfId="6"/>
    <tableColumn id="3" xr3:uid="{5C318DCC-2D9C-46EA-A4C9-065F7BB8075A}" name="GO LINKED COMP" dataDxfId="5"/>
    <tableColumn id="4" xr3:uid="{517E6B67-70CE-4D8A-B2B0-E7D3F6DADC18}" name="GO LINKED COMP TOTAL" dataDxfId="4"/>
    <tableColumn id="5" xr3:uid="{D77878B2-6514-457B-B651-9CE605DE8D34}" name="INPUT COMP" dataDxfId="3"/>
    <tableColumn id="6" xr3:uid="{44ACFC80-0175-4B9F-8F57-17C0D4F62D70}" name="OVERLAP" dataDxfId="2"/>
    <tableColumn id="7" xr3:uid="{C010D64A-43AB-4DBF-88B5-6A71E4DC3447}" name="PVALUE HYPER RAW" dataDxfId="1"/>
    <tableColumn id="8" xr3:uid="{08C7AAFB-EF37-4B18-AC20-263BAFD8CD88}" name="PVALUE ADJ FD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371A-4DB8-4676-8685-9BE7E73FBAD7}">
  <dimension ref="A1:AI84"/>
  <sheetViews>
    <sheetView tabSelected="1" workbookViewId="0">
      <selection activeCell="AA26" sqref="AA26:AI36"/>
    </sheetView>
  </sheetViews>
  <sheetFormatPr defaultRowHeight="15" x14ac:dyDescent="0.25"/>
  <cols>
    <col min="1" max="1" width="37.28515625" bestFit="1" customWidth="1"/>
    <col min="8" max="8" width="5.85546875" customWidth="1"/>
    <col min="9" max="9" width="37.28515625" bestFit="1" customWidth="1"/>
    <col min="16" max="16" width="5.5703125" customWidth="1"/>
    <col min="17" max="17" width="47.5703125" bestFit="1" customWidth="1"/>
    <col min="20" max="20" width="4.42578125" bestFit="1" customWidth="1"/>
    <col min="26" max="26" width="4.5703125" customWidth="1"/>
    <col min="27" max="27" width="47.5703125" bestFit="1" customWidth="1"/>
  </cols>
  <sheetData>
    <row r="1" spans="1:26" x14ac:dyDescent="0.25">
      <c r="Q1" s="1" t="s">
        <v>306</v>
      </c>
      <c r="R1" t="s">
        <v>129</v>
      </c>
      <c r="S1" t="s">
        <v>380</v>
      </c>
      <c r="T1" t="s">
        <v>131</v>
      </c>
      <c r="U1" t="s">
        <v>3</v>
      </c>
      <c r="V1" t="e">
        <f>-LOG10(p)</f>
        <v>#NAME?</v>
      </c>
      <c r="W1" t="s">
        <v>132</v>
      </c>
      <c r="X1" t="s">
        <v>5</v>
      </c>
      <c r="Y1" t="s">
        <v>133</v>
      </c>
    </row>
    <row r="2" spans="1:26" x14ac:dyDescent="0.25">
      <c r="A2" s="1" t="s">
        <v>135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s="1" t="s">
        <v>22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Q2" s="3" t="s">
        <v>7</v>
      </c>
      <c r="R2">
        <v>16</v>
      </c>
      <c r="S2">
        <v>0.38057000000000002</v>
      </c>
      <c r="T2">
        <v>4</v>
      </c>
      <c r="U2">
        <v>3.7151000000000003E-4</v>
      </c>
      <c r="V2">
        <v>3.43</v>
      </c>
      <c r="W2">
        <v>3.678E-2</v>
      </c>
      <c r="X2">
        <v>3.2883000000000003E-2</v>
      </c>
      <c r="Y2" s="11">
        <v>0.41378999999999999</v>
      </c>
      <c r="Z2" s="11"/>
    </row>
    <row r="3" spans="1:26" x14ac:dyDescent="0.25">
      <c r="A3" s="2" t="s">
        <v>6</v>
      </c>
      <c r="B3">
        <v>29</v>
      </c>
      <c r="C3">
        <v>0.72399999999999998</v>
      </c>
      <c r="D3">
        <v>5</v>
      </c>
      <c r="E3">
        <v>5.04E-4</v>
      </c>
      <c r="F3">
        <v>4.9399999999999999E-2</v>
      </c>
      <c r="G3">
        <v>4.9399999999999999E-2</v>
      </c>
      <c r="I3" s="3" t="s">
        <v>7</v>
      </c>
      <c r="J3">
        <v>8</v>
      </c>
      <c r="K3">
        <v>1.51</v>
      </c>
      <c r="L3">
        <v>4</v>
      </c>
      <c r="M3">
        <v>4.36E-2</v>
      </c>
      <c r="N3">
        <v>1</v>
      </c>
      <c r="O3">
        <v>1</v>
      </c>
      <c r="Q3" t="s">
        <v>8</v>
      </c>
      <c r="R3">
        <v>49</v>
      </c>
      <c r="S3">
        <v>1.1655</v>
      </c>
      <c r="T3">
        <v>6</v>
      </c>
      <c r="U3">
        <v>6.6430000000000005E-4</v>
      </c>
      <c r="V3">
        <v>3.1776</v>
      </c>
      <c r="W3">
        <v>6.5101999999999993E-2</v>
      </c>
      <c r="X3">
        <v>3.2883000000000003E-2</v>
      </c>
      <c r="Y3" s="11">
        <v>0.22603999999999999</v>
      </c>
      <c r="Z3" s="11"/>
    </row>
    <row r="4" spans="1:26" x14ac:dyDescent="0.25">
      <c r="A4" s="3" t="s">
        <v>7</v>
      </c>
      <c r="B4">
        <v>20</v>
      </c>
      <c r="C4">
        <v>0.499</v>
      </c>
      <c r="D4">
        <v>4</v>
      </c>
      <c r="E4">
        <v>1.1199999999999999E-3</v>
      </c>
      <c r="F4">
        <v>0.109</v>
      </c>
      <c r="G4">
        <v>5.4800000000000001E-2</v>
      </c>
      <c r="I4" s="4" t="s">
        <v>9</v>
      </c>
      <c r="J4">
        <v>8</v>
      </c>
      <c r="K4">
        <v>1.51</v>
      </c>
      <c r="L4">
        <v>4</v>
      </c>
      <c r="M4">
        <v>4.36E-2</v>
      </c>
      <c r="N4">
        <v>1</v>
      </c>
      <c r="O4">
        <v>1</v>
      </c>
      <c r="Q4" s="4" t="s">
        <v>9</v>
      </c>
      <c r="R4">
        <v>25</v>
      </c>
      <c r="S4">
        <v>0.59465000000000001</v>
      </c>
      <c r="T4">
        <v>4</v>
      </c>
      <c r="U4">
        <v>2.2342999999999998E-3</v>
      </c>
      <c r="V4">
        <v>2.6509</v>
      </c>
      <c r="W4">
        <v>0.21673000000000001</v>
      </c>
      <c r="X4">
        <v>5.6859E-2</v>
      </c>
      <c r="Y4">
        <v>0.15049999999999999</v>
      </c>
    </row>
    <row r="5" spans="1:26" x14ac:dyDescent="0.25">
      <c r="A5" s="16" t="s">
        <v>8</v>
      </c>
      <c r="B5">
        <v>57</v>
      </c>
      <c r="C5">
        <v>1.42</v>
      </c>
      <c r="D5">
        <v>6</v>
      </c>
      <c r="E5">
        <v>1.98E-3</v>
      </c>
      <c r="F5">
        <v>0.19</v>
      </c>
      <c r="G5">
        <v>6.4699999999999994E-2</v>
      </c>
      <c r="I5" s="6" t="s">
        <v>6</v>
      </c>
      <c r="J5">
        <v>9</v>
      </c>
      <c r="K5">
        <v>1.7</v>
      </c>
      <c r="L5">
        <v>4</v>
      </c>
      <c r="M5">
        <v>6.7799999999999999E-2</v>
      </c>
      <c r="N5">
        <v>1</v>
      </c>
      <c r="O5">
        <v>1</v>
      </c>
      <c r="Q5" t="s">
        <v>10</v>
      </c>
      <c r="R5">
        <v>26</v>
      </c>
      <c r="S5">
        <v>0.61843000000000004</v>
      </c>
      <c r="T5">
        <v>4</v>
      </c>
      <c r="U5">
        <v>2.5983999999999998E-3</v>
      </c>
      <c r="V5">
        <v>2.5853000000000002</v>
      </c>
      <c r="W5">
        <v>0.24944</v>
      </c>
      <c r="X5">
        <v>5.6859E-2</v>
      </c>
      <c r="Y5">
        <v>9.5065999999999998E-2</v>
      </c>
    </row>
    <row r="6" spans="1:26" x14ac:dyDescent="0.25">
      <c r="A6" s="4" t="s">
        <v>9</v>
      </c>
      <c r="B6">
        <v>29</v>
      </c>
      <c r="C6">
        <v>0.72399999999999998</v>
      </c>
      <c r="D6">
        <v>4</v>
      </c>
      <c r="E6">
        <v>4.7099999999999998E-3</v>
      </c>
      <c r="F6">
        <v>0.44700000000000001</v>
      </c>
      <c r="G6">
        <v>9.8400000000000001E-2</v>
      </c>
      <c r="I6" t="s">
        <v>13</v>
      </c>
      <c r="J6">
        <v>11</v>
      </c>
      <c r="K6">
        <v>2.08</v>
      </c>
      <c r="L6">
        <v>4</v>
      </c>
      <c r="M6">
        <v>0.13300000000000001</v>
      </c>
      <c r="N6">
        <v>1</v>
      </c>
      <c r="O6">
        <v>1</v>
      </c>
      <c r="Q6" s="6" t="s">
        <v>6</v>
      </c>
      <c r="R6">
        <v>27</v>
      </c>
      <c r="S6">
        <v>0.64222000000000001</v>
      </c>
      <c r="T6">
        <v>4</v>
      </c>
      <c r="U6">
        <v>3.0016000000000001E-3</v>
      </c>
      <c r="V6">
        <v>2.5226000000000002</v>
      </c>
      <c r="W6">
        <v>0.28515000000000001</v>
      </c>
      <c r="X6">
        <v>5.6859E-2</v>
      </c>
      <c r="Y6" s="11">
        <v>0.2346</v>
      </c>
      <c r="Z6" s="11"/>
    </row>
    <row r="7" spans="1:26" x14ac:dyDescent="0.25">
      <c r="A7" t="s">
        <v>10</v>
      </c>
      <c r="B7">
        <v>31</v>
      </c>
      <c r="C7">
        <v>0.77300000000000002</v>
      </c>
      <c r="D7">
        <v>4</v>
      </c>
      <c r="E7">
        <v>6.0299999999999998E-3</v>
      </c>
      <c r="F7">
        <v>0.56599999999999995</v>
      </c>
      <c r="G7">
        <v>9.8400000000000001E-2</v>
      </c>
      <c r="I7" t="s">
        <v>10</v>
      </c>
      <c r="J7">
        <v>11</v>
      </c>
      <c r="K7">
        <v>2.08</v>
      </c>
      <c r="L7">
        <v>4</v>
      </c>
      <c r="M7">
        <v>0.13300000000000001</v>
      </c>
      <c r="N7">
        <v>1</v>
      </c>
      <c r="O7">
        <v>1</v>
      </c>
      <c r="Q7" t="s">
        <v>11</v>
      </c>
      <c r="R7">
        <v>28</v>
      </c>
      <c r="S7">
        <v>0.66600999999999999</v>
      </c>
      <c r="T7">
        <v>4</v>
      </c>
      <c r="U7">
        <v>3.4459999999999998E-3</v>
      </c>
      <c r="V7">
        <v>2.4626999999999999</v>
      </c>
      <c r="W7">
        <v>0.32391999999999999</v>
      </c>
      <c r="X7">
        <v>5.6859E-2</v>
      </c>
      <c r="Y7" s="11">
        <v>0.23463999999999999</v>
      </c>
      <c r="Z7" s="11"/>
    </row>
    <row r="8" spans="1:26" x14ac:dyDescent="0.25">
      <c r="A8" t="s">
        <v>11</v>
      </c>
      <c r="B8">
        <v>31</v>
      </c>
      <c r="C8">
        <v>0.77300000000000002</v>
      </c>
      <c r="D8">
        <v>4</v>
      </c>
      <c r="E8">
        <v>6.0299999999999998E-3</v>
      </c>
      <c r="F8">
        <v>0.56599999999999995</v>
      </c>
      <c r="G8">
        <v>9.8400000000000001E-2</v>
      </c>
      <c r="I8" t="s">
        <v>23</v>
      </c>
      <c r="J8">
        <v>4</v>
      </c>
      <c r="K8">
        <v>0.75700000000000001</v>
      </c>
      <c r="L8">
        <v>2</v>
      </c>
      <c r="M8">
        <v>0.16300000000000001</v>
      </c>
      <c r="N8">
        <v>1</v>
      </c>
      <c r="O8">
        <v>1</v>
      </c>
      <c r="Q8" t="s">
        <v>12</v>
      </c>
      <c r="R8">
        <v>30</v>
      </c>
      <c r="S8">
        <v>0.71357999999999999</v>
      </c>
      <c r="T8">
        <v>4</v>
      </c>
      <c r="U8">
        <v>4.4662E-3</v>
      </c>
      <c r="V8">
        <v>2.3500999999999999</v>
      </c>
      <c r="W8">
        <v>0.41536000000000001</v>
      </c>
      <c r="X8">
        <v>6.3164999999999999E-2</v>
      </c>
      <c r="Y8">
        <v>0.13657</v>
      </c>
    </row>
    <row r="9" spans="1:26" x14ac:dyDescent="0.25">
      <c r="A9" t="s">
        <v>12</v>
      </c>
      <c r="B9">
        <v>33</v>
      </c>
      <c r="C9">
        <v>0.82299999999999995</v>
      </c>
      <c r="D9">
        <v>4</v>
      </c>
      <c r="E9">
        <v>7.5700000000000003E-3</v>
      </c>
      <c r="F9">
        <v>0.69699999999999995</v>
      </c>
      <c r="G9">
        <v>0.106</v>
      </c>
      <c r="I9" t="s">
        <v>24</v>
      </c>
      <c r="J9">
        <v>4</v>
      </c>
      <c r="K9">
        <v>0.75700000000000001</v>
      </c>
      <c r="L9">
        <v>2</v>
      </c>
      <c r="M9">
        <v>0.16300000000000001</v>
      </c>
      <c r="N9">
        <v>1</v>
      </c>
      <c r="O9">
        <v>1</v>
      </c>
      <c r="Q9" t="s">
        <v>14</v>
      </c>
      <c r="R9">
        <v>20</v>
      </c>
      <c r="S9">
        <v>0.47571999999999998</v>
      </c>
      <c r="T9">
        <v>3</v>
      </c>
      <c r="U9">
        <v>1.0343E-2</v>
      </c>
      <c r="V9">
        <v>1.9853000000000001</v>
      </c>
      <c r="W9">
        <v>0.9516</v>
      </c>
      <c r="X9">
        <v>0.128</v>
      </c>
      <c r="Y9">
        <v>5.5154000000000002E-2</v>
      </c>
    </row>
    <row r="10" spans="1:26" x14ac:dyDescent="0.25">
      <c r="A10" t="s">
        <v>13</v>
      </c>
      <c r="B10">
        <v>38</v>
      </c>
      <c r="C10">
        <v>0.94799999999999995</v>
      </c>
      <c r="D10">
        <v>4</v>
      </c>
      <c r="E10">
        <v>1.2500000000000001E-2</v>
      </c>
      <c r="F10">
        <v>1</v>
      </c>
      <c r="G10">
        <v>0.154</v>
      </c>
      <c r="I10" t="s">
        <v>25</v>
      </c>
      <c r="J10">
        <v>5</v>
      </c>
      <c r="K10">
        <v>0.94699999999999995</v>
      </c>
      <c r="L10">
        <v>2</v>
      </c>
      <c r="M10">
        <v>0.24</v>
      </c>
      <c r="N10">
        <v>1</v>
      </c>
      <c r="O10">
        <v>1</v>
      </c>
      <c r="Q10" s="4" t="s">
        <v>16</v>
      </c>
      <c r="R10">
        <v>8</v>
      </c>
      <c r="S10">
        <v>0.19028999999999999</v>
      </c>
      <c r="T10">
        <v>2</v>
      </c>
      <c r="U10">
        <v>1.3919000000000001E-2</v>
      </c>
      <c r="V10">
        <v>1.8564000000000001</v>
      </c>
      <c r="W10">
        <v>1</v>
      </c>
      <c r="X10">
        <v>0.15311</v>
      </c>
      <c r="Y10" s="11">
        <v>0.76190000000000002</v>
      </c>
      <c r="Z10" s="11"/>
    </row>
    <row r="11" spans="1:26" x14ac:dyDescent="0.25">
      <c r="A11" t="s">
        <v>14</v>
      </c>
      <c r="B11">
        <v>23</v>
      </c>
      <c r="C11">
        <v>0.57399999999999995</v>
      </c>
      <c r="D11">
        <v>3</v>
      </c>
      <c r="E11">
        <v>1.7500000000000002E-2</v>
      </c>
      <c r="F11">
        <v>1</v>
      </c>
      <c r="G11">
        <v>0.189</v>
      </c>
      <c r="I11" t="s">
        <v>26</v>
      </c>
      <c r="J11">
        <v>5</v>
      </c>
      <c r="K11">
        <v>0.94699999999999995</v>
      </c>
      <c r="L11">
        <v>2</v>
      </c>
      <c r="M11">
        <v>0.24</v>
      </c>
      <c r="N11">
        <v>1</v>
      </c>
      <c r="O11">
        <v>1</v>
      </c>
      <c r="Q11" t="s">
        <v>15</v>
      </c>
      <c r="R11">
        <v>9</v>
      </c>
      <c r="S11">
        <v>0.21407000000000001</v>
      </c>
      <c r="T11">
        <v>2</v>
      </c>
      <c r="U11">
        <v>1.7638000000000001E-2</v>
      </c>
      <c r="V11">
        <v>1.7536</v>
      </c>
      <c r="W11">
        <v>1</v>
      </c>
      <c r="X11">
        <v>0.17460999999999999</v>
      </c>
      <c r="Y11">
        <v>0.2</v>
      </c>
    </row>
    <row r="12" spans="1:26" x14ac:dyDescent="0.25">
      <c r="A12" t="s">
        <v>15</v>
      </c>
      <c r="B12">
        <v>9</v>
      </c>
      <c r="C12">
        <v>0.22500000000000001</v>
      </c>
      <c r="D12">
        <v>2</v>
      </c>
      <c r="E12">
        <v>1.9300000000000001E-2</v>
      </c>
      <c r="F12">
        <v>1</v>
      </c>
      <c r="G12">
        <v>0.189</v>
      </c>
      <c r="I12" t="s">
        <v>16</v>
      </c>
      <c r="J12">
        <v>5</v>
      </c>
      <c r="K12">
        <v>0.94699999999999995</v>
      </c>
      <c r="L12">
        <v>2</v>
      </c>
      <c r="M12">
        <v>0.24</v>
      </c>
      <c r="N12">
        <v>1</v>
      </c>
      <c r="O12">
        <v>1</v>
      </c>
      <c r="Q12" t="s">
        <v>19</v>
      </c>
      <c r="R12">
        <v>26</v>
      </c>
      <c r="S12">
        <v>0.61843000000000004</v>
      </c>
      <c r="T12">
        <v>3</v>
      </c>
      <c r="U12">
        <v>2.1472999999999999E-2</v>
      </c>
      <c r="V12">
        <v>1.6680999999999999</v>
      </c>
      <c r="W12">
        <v>1</v>
      </c>
      <c r="X12">
        <v>0.19325000000000001</v>
      </c>
      <c r="Y12">
        <v>0.14091000000000001</v>
      </c>
    </row>
    <row r="13" spans="1:26" x14ac:dyDescent="0.25">
      <c r="A13" s="4" t="s">
        <v>16</v>
      </c>
      <c r="B13">
        <v>11</v>
      </c>
      <c r="C13">
        <v>0.27400000000000002</v>
      </c>
      <c r="D13">
        <v>2</v>
      </c>
      <c r="E13">
        <v>2.86E-2</v>
      </c>
      <c r="F13">
        <v>1</v>
      </c>
      <c r="G13">
        <v>0.23400000000000001</v>
      </c>
      <c r="I13" t="s">
        <v>15</v>
      </c>
      <c r="J13">
        <v>5</v>
      </c>
      <c r="K13">
        <v>0.94699999999999995</v>
      </c>
      <c r="L13">
        <v>2</v>
      </c>
      <c r="M13">
        <v>0.24</v>
      </c>
      <c r="N13">
        <v>1</v>
      </c>
      <c r="O13">
        <v>1</v>
      </c>
      <c r="Q13" t="s">
        <v>17</v>
      </c>
      <c r="R13">
        <v>11</v>
      </c>
      <c r="S13">
        <v>0.26164999999999999</v>
      </c>
      <c r="T13">
        <v>2</v>
      </c>
      <c r="U13">
        <v>2.6173999999999999E-2</v>
      </c>
      <c r="V13">
        <v>1.5821000000000001</v>
      </c>
      <c r="W13">
        <v>1</v>
      </c>
      <c r="X13">
        <v>0.21593000000000001</v>
      </c>
      <c r="Y13" s="11">
        <v>0.29870000000000002</v>
      </c>
      <c r="Z13" s="11"/>
    </row>
    <row r="14" spans="1:26" x14ac:dyDescent="0.25">
      <c r="A14" t="s">
        <v>17</v>
      </c>
      <c r="B14">
        <v>11</v>
      </c>
      <c r="C14">
        <v>0.27400000000000002</v>
      </c>
      <c r="D14">
        <v>2</v>
      </c>
      <c r="E14">
        <v>2.86E-2</v>
      </c>
      <c r="F14">
        <v>1</v>
      </c>
      <c r="G14">
        <v>0.23400000000000001</v>
      </c>
      <c r="I14" t="s">
        <v>27</v>
      </c>
      <c r="J14">
        <v>5</v>
      </c>
      <c r="K14">
        <v>0.94699999999999995</v>
      </c>
      <c r="L14">
        <v>2</v>
      </c>
      <c r="M14">
        <v>0.24</v>
      </c>
      <c r="N14">
        <v>1</v>
      </c>
      <c r="O14">
        <v>1</v>
      </c>
      <c r="Q14" t="s">
        <v>13</v>
      </c>
      <c r="R14">
        <v>31</v>
      </c>
      <c r="S14">
        <v>0.73736000000000002</v>
      </c>
      <c r="T14">
        <v>3</v>
      </c>
      <c r="U14">
        <v>3.4329999999999999E-2</v>
      </c>
      <c r="V14">
        <v>1.4642999999999999</v>
      </c>
      <c r="W14">
        <v>1</v>
      </c>
      <c r="X14">
        <v>0.23798</v>
      </c>
      <c r="Y14">
        <v>0</v>
      </c>
    </row>
    <row r="15" spans="1:26" x14ac:dyDescent="0.25">
      <c r="A15" t="s">
        <v>18</v>
      </c>
      <c r="B15">
        <v>12</v>
      </c>
      <c r="C15">
        <v>0.29899999999999999</v>
      </c>
      <c r="D15">
        <v>2</v>
      </c>
      <c r="E15">
        <v>3.39E-2</v>
      </c>
      <c r="F15">
        <v>1</v>
      </c>
      <c r="G15">
        <v>0.255</v>
      </c>
      <c r="I15" t="s">
        <v>11</v>
      </c>
      <c r="J15">
        <v>10</v>
      </c>
      <c r="K15">
        <v>1.89</v>
      </c>
      <c r="L15">
        <v>3</v>
      </c>
      <c r="M15">
        <v>0.28799999999999998</v>
      </c>
      <c r="N15">
        <v>1</v>
      </c>
      <c r="O15">
        <v>1</v>
      </c>
      <c r="Q15" t="s">
        <v>21</v>
      </c>
      <c r="R15">
        <v>31</v>
      </c>
      <c r="S15">
        <v>0.73736000000000002</v>
      </c>
      <c r="T15">
        <v>3</v>
      </c>
      <c r="U15">
        <v>3.4329999999999999E-2</v>
      </c>
      <c r="V15">
        <v>1.4642999999999999</v>
      </c>
      <c r="W15">
        <v>1</v>
      </c>
      <c r="X15">
        <v>0.23798</v>
      </c>
      <c r="Y15" s="11">
        <v>0.27323999999999998</v>
      </c>
      <c r="Z15" s="11"/>
    </row>
    <row r="16" spans="1:26" x14ac:dyDescent="0.25">
      <c r="A16" t="s">
        <v>19</v>
      </c>
      <c r="B16">
        <v>32</v>
      </c>
      <c r="C16">
        <v>0.79800000000000004</v>
      </c>
      <c r="D16">
        <v>3</v>
      </c>
      <c r="E16">
        <v>4.2200000000000001E-2</v>
      </c>
      <c r="F16">
        <v>1</v>
      </c>
      <c r="G16">
        <v>0.28000000000000003</v>
      </c>
      <c r="I16" t="s">
        <v>28</v>
      </c>
      <c r="J16">
        <v>6</v>
      </c>
      <c r="K16">
        <v>1.1399999999999999</v>
      </c>
      <c r="L16">
        <v>2</v>
      </c>
      <c r="M16">
        <v>0.318</v>
      </c>
      <c r="N16">
        <v>1</v>
      </c>
      <c r="O16">
        <v>1</v>
      </c>
      <c r="Q16" t="s">
        <v>18</v>
      </c>
      <c r="R16">
        <v>13</v>
      </c>
      <c r="S16">
        <v>0.30921999999999999</v>
      </c>
      <c r="T16">
        <v>2</v>
      </c>
      <c r="U16">
        <v>3.6056999999999999E-2</v>
      </c>
      <c r="V16">
        <v>1.4430000000000001</v>
      </c>
      <c r="W16">
        <v>1</v>
      </c>
      <c r="X16">
        <v>0.23798</v>
      </c>
      <c r="Y16">
        <v>0.5</v>
      </c>
    </row>
    <row r="17" spans="1:35" x14ac:dyDescent="0.25">
      <c r="A17" t="s">
        <v>20</v>
      </c>
      <c r="B17">
        <v>14</v>
      </c>
      <c r="C17">
        <v>0.34899999999999998</v>
      </c>
      <c r="D17">
        <v>2</v>
      </c>
      <c r="E17">
        <v>4.53E-2</v>
      </c>
      <c r="F17">
        <v>1</v>
      </c>
      <c r="G17">
        <v>0.28000000000000003</v>
      </c>
      <c r="I17" t="s">
        <v>20</v>
      </c>
      <c r="J17">
        <v>6</v>
      </c>
      <c r="K17">
        <v>1.1399999999999999</v>
      </c>
      <c r="L17">
        <v>2</v>
      </c>
      <c r="M17">
        <v>0.318</v>
      </c>
      <c r="N17">
        <v>1</v>
      </c>
      <c r="O17">
        <v>1</v>
      </c>
      <c r="Q17" t="s">
        <v>29</v>
      </c>
      <c r="R17">
        <v>15</v>
      </c>
      <c r="S17">
        <v>0.35679</v>
      </c>
      <c r="T17">
        <v>2</v>
      </c>
      <c r="U17">
        <v>4.7154000000000001E-2</v>
      </c>
      <c r="V17">
        <v>1.3265</v>
      </c>
      <c r="W17">
        <v>1</v>
      </c>
      <c r="X17">
        <v>0.29176000000000002</v>
      </c>
      <c r="Y17" s="11">
        <v>0.25483</v>
      </c>
      <c r="Z17" s="11"/>
    </row>
    <row r="18" spans="1:35" x14ac:dyDescent="0.25">
      <c r="A18" s="3" t="s">
        <v>21</v>
      </c>
      <c r="B18">
        <v>33</v>
      </c>
      <c r="C18">
        <v>0.82299999999999995</v>
      </c>
      <c r="D18">
        <v>3</v>
      </c>
      <c r="E18">
        <v>4.5699999999999998E-2</v>
      </c>
      <c r="F18">
        <v>1</v>
      </c>
      <c r="G18">
        <v>0.28000000000000003</v>
      </c>
      <c r="I18" t="s">
        <v>17</v>
      </c>
      <c r="J18">
        <v>6</v>
      </c>
      <c r="K18">
        <v>1.1399999999999999</v>
      </c>
      <c r="L18">
        <v>2</v>
      </c>
      <c r="M18">
        <v>0.318</v>
      </c>
      <c r="N18">
        <v>1</v>
      </c>
      <c r="O18">
        <v>1</v>
      </c>
      <c r="Q18" t="s">
        <v>25</v>
      </c>
      <c r="R18">
        <v>18</v>
      </c>
      <c r="S18">
        <v>0.42814999999999998</v>
      </c>
      <c r="T18">
        <v>2</v>
      </c>
      <c r="U18">
        <v>6.5798999999999996E-2</v>
      </c>
      <c r="V18">
        <v>1.1818</v>
      </c>
      <c r="W18">
        <v>1</v>
      </c>
      <c r="X18">
        <v>0.34284999999999999</v>
      </c>
      <c r="Y18">
        <v>0</v>
      </c>
    </row>
    <row r="19" spans="1:35" x14ac:dyDescent="0.25">
      <c r="Q19" t="s">
        <v>303</v>
      </c>
      <c r="R19">
        <v>18</v>
      </c>
      <c r="S19">
        <v>0.42814999999999998</v>
      </c>
      <c r="T19">
        <v>2</v>
      </c>
      <c r="U19">
        <v>6.5798999999999996E-2</v>
      </c>
      <c r="V19">
        <v>1.1818</v>
      </c>
      <c r="W19">
        <v>1</v>
      </c>
      <c r="X19">
        <v>0.34284999999999999</v>
      </c>
      <c r="Y19">
        <v>0</v>
      </c>
    </row>
    <row r="20" spans="1:35" x14ac:dyDescent="0.25">
      <c r="Q20" t="s">
        <v>20</v>
      </c>
      <c r="R20">
        <v>18</v>
      </c>
      <c r="S20">
        <v>0.42814999999999998</v>
      </c>
      <c r="T20">
        <v>2</v>
      </c>
      <c r="U20">
        <v>6.5798999999999996E-2</v>
      </c>
      <c r="V20">
        <v>1.1818</v>
      </c>
      <c r="W20">
        <v>1</v>
      </c>
      <c r="X20">
        <v>0.34284999999999999</v>
      </c>
      <c r="Y20">
        <v>0.19511999999999999</v>
      </c>
    </row>
    <row r="21" spans="1:35" x14ac:dyDescent="0.25">
      <c r="Q21" t="s">
        <v>27</v>
      </c>
      <c r="R21">
        <v>20</v>
      </c>
      <c r="S21">
        <v>0.47571999999999998</v>
      </c>
      <c r="T21">
        <v>2</v>
      </c>
      <c r="U21">
        <v>7.9394999999999993E-2</v>
      </c>
      <c r="V21">
        <v>1.1002000000000001</v>
      </c>
      <c r="W21">
        <v>1</v>
      </c>
      <c r="X21">
        <v>0.37429000000000001</v>
      </c>
      <c r="Y21">
        <v>0.15981999999999999</v>
      </c>
    </row>
    <row r="22" spans="1:35" x14ac:dyDescent="0.25">
      <c r="Q22" t="s">
        <v>304</v>
      </c>
      <c r="R22">
        <v>20</v>
      </c>
      <c r="S22">
        <v>0.47571999999999998</v>
      </c>
      <c r="T22">
        <v>2</v>
      </c>
      <c r="U22">
        <v>7.9394999999999993E-2</v>
      </c>
      <c r="V22">
        <v>1.1002000000000001</v>
      </c>
      <c r="W22">
        <v>1</v>
      </c>
      <c r="X22">
        <v>0.37429000000000001</v>
      </c>
      <c r="Y22">
        <v>0.33</v>
      </c>
    </row>
    <row r="23" spans="1:35" x14ac:dyDescent="0.25">
      <c r="Q23" t="s">
        <v>24</v>
      </c>
      <c r="R23">
        <v>23</v>
      </c>
      <c r="S23">
        <v>0.54708000000000001</v>
      </c>
      <c r="T23">
        <v>2</v>
      </c>
      <c r="U23">
        <v>0.10127</v>
      </c>
      <c r="V23">
        <v>0.99451999999999996</v>
      </c>
      <c r="W23">
        <v>1</v>
      </c>
      <c r="X23">
        <v>0.43590000000000001</v>
      </c>
      <c r="Y23">
        <v>0.16103000000000001</v>
      </c>
    </row>
    <row r="24" spans="1:35" x14ac:dyDescent="0.25">
      <c r="Q24" s="4" t="s">
        <v>305</v>
      </c>
      <c r="R24">
        <v>23</v>
      </c>
      <c r="S24">
        <v>0.54708000000000001</v>
      </c>
      <c r="T24">
        <v>2</v>
      </c>
      <c r="U24">
        <v>0.10127</v>
      </c>
      <c r="V24">
        <v>0.99451999999999996</v>
      </c>
      <c r="W24">
        <v>1</v>
      </c>
      <c r="X24">
        <v>0.43590000000000001</v>
      </c>
      <c r="Y24">
        <v>0.22586999999999999</v>
      </c>
    </row>
    <row r="26" spans="1:35" x14ac:dyDescent="0.25">
      <c r="A26" s="1" t="s">
        <v>136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I26" s="1" t="s">
        <v>30</v>
      </c>
      <c r="J26" t="s">
        <v>0</v>
      </c>
      <c r="K26" t="s">
        <v>1</v>
      </c>
      <c r="L26" t="s">
        <v>2</v>
      </c>
      <c r="M26" t="s">
        <v>3</v>
      </c>
      <c r="N26" t="s">
        <v>4</v>
      </c>
      <c r="O26" t="s">
        <v>5</v>
      </c>
      <c r="Q26" s="1" t="s">
        <v>138</v>
      </c>
      <c r="R26" t="s">
        <v>129</v>
      </c>
      <c r="S26" t="s">
        <v>380</v>
      </c>
      <c r="T26" t="s">
        <v>131</v>
      </c>
      <c r="U26" t="s">
        <v>3</v>
      </c>
      <c r="V26" t="e">
        <v>#NAME?</v>
      </c>
      <c r="W26" t="s">
        <v>132</v>
      </c>
      <c r="X26" t="s">
        <v>5</v>
      </c>
      <c r="Y26" t="s">
        <v>133</v>
      </c>
      <c r="AA26" s="1" t="s">
        <v>307</v>
      </c>
      <c r="AB26" t="s">
        <v>129</v>
      </c>
      <c r="AC26" t="s">
        <v>130</v>
      </c>
      <c r="AD26" t="s">
        <v>131</v>
      </c>
      <c r="AE26" t="s">
        <v>3</v>
      </c>
      <c r="AF26" t="e">
        <f>-LOG10(p)</f>
        <v>#NAME?</v>
      </c>
      <c r="AG26" t="s">
        <v>132</v>
      </c>
      <c r="AH26" t="s">
        <v>5</v>
      </c>
      <c r="AI26" t="s">
        <v>133</v>
      </c>
    </row>
    <row r="27" spans="1:35" x14ac:dyDescent="0.25">
      <c r="A27" s="4" t="s">
        <v>31</v>
      </c>
      <c r="B27">
        <v>36</v>
      </c>
      <c r="C27">
        <v>0.52100000000000002</v>
      </c>
      <c r="D27">
        <v>5</v>
      </c>
      <c r="E27">
        <v>1.11E-4</v>
      </c>
      <c r="F27">
        <v>8.9599999999999992E-3</v>
      </c>
      <c r="G27">
        <v>8.26E-3</v>
      </c>
      <c r="I27" s="4" t="s">
        <v>31</v>
      </c>
      <c r="J27">
        <v>6</v>
      </c>
      <c r="K27">
        <v>1.1399999999999999</v>
      </c>
      <c r="L27">
        <v>5</v>
      </c>
      <c r="M27">
        <v>1.01E-3</v>
      </c>
      <c r="N27">
        <v>8.1699999999999995E-2</v>
      </c>
      <c r="O27">
        <v>8.1699999999999995E-2</v>
      </c>
      <c r="Q27" s="4" t="s">
        <v>31</v>
      </c>
      <c r="R27">
        <v>36</v>
      </c>
      <c r="S27">
        <v>0.54271000000000003</v>
      </c>
      <c r="T27">
        <v>5</v>
      </c>
      <c r="U27">
        <v>1.3851E-4</v>
      </c>
      <c r="V27">
        <v>3.8584999999999998</v>
      </c>
      <c r="W27">
        <v>1.108E-2</v>
      </c>
      <c r="X27">
        <v>1.108E-2</v>
      </c>
      <c r="Y27">
        <v>0.18129999999999999</v>
      </c>
      <c r="AA27" s="4" t="s">
        <v>31</v>
      </c>
      <c r="AB27">
        <v>7</v>
      </c>
      <c r="AC27">
        <v>1.5</v>
      </c>
      <c r="AD27">
        <v>5</v>
      </c>
      <c r="AE27">
        <v>4.8276999999999999E-3</v>
      </c>
      <c r="AF27">
        <v>2.3163</v>
      </c>
      <c r="AG27">
        <v>0.30414000000000002</v>
      </c>
      <c r="AH27">
        <v>0.22953999999999999</v>
      </c>
      <c r="AI27">
        <v>0.18129999999999999</v>
      </c>
    </row>
    <row r="28" spans="1:35" x14ac:dyDescent="0.25">
      <c r="A28" s="2" t="s">
        <v>32</v>
      </c>
      <c r="B28">
        <v>22</v>
      </c>
      <c r="C28">
        <v>0.31900000000000001</v>
      </c>
      <c r="D28">
        <v>4</v>
      </c>
      <c r="E28">
        <v>2.04E-4</v>
      </c>
      <c r="F28">
        <v>1.6299999999999999E-2</v>
      </c>
      <c r="G28">
        <v>8.26E-3</v>
      </c>
      <c r="I28" s="2" t="s">
        <v>32</v>
      </c>
      <c r="J28">
        <v>4</v>
      </c>
      <c r="K28">
        <v>0.75700000000000001</v>
      </c>
      <c r="L28">
        <v>3</v>
      </c>
      <c r="M28">
        <v>2.2100000000000002E-2</v>
      </c>
      <c r="N28">
        <v>1</v>
      </c>
      <c r="O28">
        <v>0.68300000000000005</v>
      </c>
      <c r="Q28" s="2" t="s">
        <v>32</v>
      </c>
      <c r="R28">
        <v>23</v>
      </c>
      <c r="S28">
        <v>0.34672999999999998</v>
      </c>
      <c r="T28">
        <v>4</v>
      </c>
      <c r="U28">
        <v>2.9107999999999998E-4</v>
      </c>
      <c r="V28">
        <v>3.536</v>
      </c>
      <c r="W28">
        <v>2.2995000000000002E-2</v>
      </c>
      <c r="X28">
        <v>1.1643000000000001E-2</v>
      </c>
      <c r="Y28" s="11">
        <v>0.22542999999999999</v>
      </c>
      <c r="AA28" s="2" t="s">
        <v>32</v>
      </c>
      <c r="AB28">
        <v>5</v>
      </c>
      <c r="AC28">
        <v>1.0713999999999999</v>
      </c>
      <c r="AD28">
        <v>4</v>
      </c>
      <c r="AE28">
        <v>7.2871000000000003E-3</v>
      </c>
      <c r="AF28">
        <v>2.1374</v>
      </c>
      <c r="AG28">
        <v>0.45179999999999998</v>
      </c>
      <c r="AH28">
        <v>0.22953999999999999</v>
      </c>
      <c r="AI28" s="11">
        <v>0.22542999999999999</v>
      </c>
    </row>
    <row r="29" spans="1:35" x14ac:dyDescent="0.25">
      <c r="A29" s="3" t="s">
        <v>33</v>
      </c>
      <c r="B29">
        <v>31</v>
      </c>
      <c r="C29">
        <v>0.44900000000000001</v>
      </c>
      <c r="D29">
        <v>4</v>
      </c>
      <c r="E29">
        <v>8.0500000000000005E-4</v>
      </c>
      <c r="F29">
        <v>6.3600000000000004E-2</v>
      </c>
      <c r="G29">
        <v>2.1700000000000001E-2</v>
      </c>
      <c r="I29" s="3" t="s">
        <v>33</v>
      </c>
      <c r="J29">
        <v>7</v>
      </c>
      <c r="K29">
        <v>1.33</v>
      </c>
      <c r="L29">
        <v>4</v>
      </c>
      <c r="M29">
        <v>2.53E-2</v>
      </c>
      <c r="N29">
        <v>1</v>
      </c>
      <c r="O29">
        <v>0.68300000000000005</v>
      </c>
      <c r="Q29" s="3" t="s">
        <v>33</v>
      </c>
      <c r="R29">
        <v>42</v>
      </c>
      <c r="S29">
        <v>0.63317000000000001</v>
      </c>
      <c r="T29">
        <v>4</v>
      </c>
      <c r="U29">
        <v>3.0339999999999998E-3</v>
      </c>
      <c r="V29">
        <v>2.5179999999999998</v>
      </c>
      <c r="W29">
        <v>0.23665</v>
      </c>
      <c r="X29">
        <v>8.0907999999999994E-2</v>
      </c>
      <c r="Y29">
        <v>6.9790000000000005E-2</v>
      </c>
      <c r="AA29" s="3" t="s">
        <v>33</v>
      </c>
      <c r="AB29">
        <v>6</v>
      </c>
      <c r="AC29">
        <v>1.2857000000000001</v>
      </c>
      <c r="AD29">
        <v>4</v>
      </c>
      <c r="AE29">
        <v>1.8622E-2</v>
      </c>
      <c r="AF29">
        <v>1.73</v>
      </c>
      <c r="AG29">
        <v>1</v>
      </c>
      <c r="AH29">
        <v>0.39106000000000002</v>
      </c>
      <c r="AI29">
        <v>6.9790000000000005E-2</v>
      </c>
    </row>
    <row r="30" spans="1:35" x14ac:dyDescent="0.25">
      <c r="A30" s="3" t="s">
        <v>34</v>
      </c>
      <c r="B30">
        <v>24</v>
      </c>
      <c r="C30">
        <v>0.34799999999999998</v>
      </c>
      <c r="D30">
        <v>3</v>
      </c>
      <c r="E30">
        <v>4.3899999999999998E-3</v>
      </c>
      <c r="F30">
        <v>0.34200000000000003</v>
      </c>
      <c r="G30">
        <v>8.8800000000000004E-2</v>
      </c>
      <c r="I30" s="3" t="s">
        <v>34</v>
      </c>
      <c r="J30">
        <v>5</v>
      </c>
      <c r="K30">
        <v>0.94699999999999995</v>
      </c>
      <c r="L30">
        <v>3</v>
      </c>
      <c r="M30">
        <v>4.7899999999999998E-2</v>
      </c>
      <c r="N30">
        <v>1</v>
      </c>
      <c r="O30">
        <v>0.97</v>
      </c>
      <c r="Q30" t="s">
        <v>35</v>
      </c>
      <c r="R30">
        <v>2</v>
      </c>
      <c r="S30">
        <v>3.0151000000000001E-2</v>
      </c>
      <c r="T30">
        <v>1</v>
      </c>
      <c r="U30">
        <v>2.9933000000000001E-2</v>
      </c>
      <c r="V30">
        <v>1.5239</v>
      </c>
      <c r="W30">
        <v>1</v>
      </c>
      <c r="X30">
        <v>0.56130999999999998</v>
      </c>
      <c r="Y30">
        <v>0</v>
      </c>
      <c r="AA30" t="s">
        <v>36</v>
      </c>
      <c r="AB30">
        <v>3</v>
      </c>
      <c r="AC30">
        <v>0.64285999999999999</v>
      </c>
      <c r="AD30">
        <v>2</v>
      </c>
      <c r="AE30">
        <v>0.11544</v>
      </c>
      <c r="AF30">
        <v>0.93762999999999996</v>
      </c>
      <c r="AG30">
        <v>1</v>
      </c>
      <c r="AH30">
        <v>1</v>
      </c>
      <c r="AI30">
        <v>0.15906999999999999</v>
      </c>
    </row>
    <row r="31" spans="1:35" x14ac:dyDescent="0.25">
      <c r="A31" t="s">
        <v>35</v>
      </c>
      <c r="B31">
        <v>2</v>
      </c>
      <c r="C31">
        <v>2.9000000000000001E-2</v>
      </c>
      <c r="D31">
        <v>1</v>
      </c>
      <c r="E31">
        <v>2.8799999999999999E-2</v>
      </c>
      <c r="F31">
        <v>1</v>
      </c>
      <c r="G31">
        <v>0.46600000000000003</v>
      </c>
      <c r="I31" t="s">
        <v>41</v>
      </c>
      <c r="J31">
        <v>1</v>
      </c>
      <c r="K31">
        <v>0.189</v>
      </c>
      <c r="L31">
        <v>1</v>
      </c>
      <c r="M31">
        <v>0.189</v>
      </c>
      <c r="N31">
        <v>1</v>
      </c>
      <c r="O31">
        <v>1</v>
      </c>
      <c r="Q31" t="s">
        <v>36</v>
      </c>
      <c r="R31">
        <v>20</v>
      </c>
      <c r="S31">
        <v>0.30151</v>
      </c>
      <c r="T31">
        <v>2</v>
      </c>
      <c r="U31">
        <v>3.5082000000000002E-2</v>
      </c>
      <c r="V31">
        <v>1.4549000000000001</v>
      </c>
      <c r="W31">
        <v>1</v>
      </c>
      <c r="X31">
        <v>0.56130999999999998</v>
      </c>
      <c r="Y31">
        <v>0.15906999999999999</v>
      </c>
      <c r="AA31" t="s">
        <v>41</v>
      </c>
      <c r="AB31">
        <v>1</v>
      </c>
      <c r="AC31">
        <v>0.21429000000000001</v>
      </c>
      <c r="AD31">
        <v>1</v>
      </c>
      <c r="AE31">
        <v>0.21429000000000001</v>
      </c>
      <c r="AF31">
        <v>0.66900999999999999</v>
      </c>
      <c r="AG31">
        <v>1</v>
      </c>
      <c r="AH31">
        <v>1</v>
      </c>
      <c r="AI31">
        <v>0</v>
      </c>
    </row>
    <row r="32" spans="1:35" x14ac:dyDescent="0.25">
      <c r="A32" t="s">
        <v>36</v>
      </c>
      <c r="B32">
        <v>21</v>
      </c>
      <c r="C32">
        <v>0.30399999999999999</v>
      </c>
      <c r="D32">
        <v>2</v>
      </c>
      <c r="E32">
        <v>3.56E-2</v>
      </c>
      <c r="F32">
        <v>1</v>
      </c>
      <c r="G32">
        <v>0.48099999999999998</v>
      </c>
      <c r="I32" t="s">
        <v>35</v>
      </c>
      <c r="J32">
        <v>1</v>
      </c>
      <c r="K32">
        <v>0.189</v>
      </c>
      <c r="L32">
        <v>1</v>
      </c>
      <c r="M32">
        <v>0.189</v>
      </c>
      <c r="N32">
        <v>1</v>
      </c>
      <c r="O32">
        <v>1</v>
      </c>
      <c r="Q32" t="s">
        <v>38</v>
      </c>
      <c r="R32">
        <v>70</v>
      </c>
      <c r="S32">
        <v>1.0552999999999999</v>
      </c>
      <c r="T32">
        <v>3</v>
      </c>
      <c r="U32">
        <v>8.5109000000000004E-2</v>
      </c>
      <c r="V32">
        <v>1.07</v>
      </c>
      <c r="W32">
        <v>1</v>
      </c>
      <c r="X32">
        <v>1</v>
      </c>
      <c r="Y32">
        <v>7.3169999999999999E-2</v>
      </c>
      <c r="AA32" t="s">
        <v>35</v>
      </c>
      <c r="AB32">
        <v>1</v>
      </c>
      <c r="AC32">
        <v>0.21429000000000001</v>
      </c>
      <c r="AD32">
        <v>1</v>
      </c>
      <c r="AE32">
        <v>0.21429000000000001</v>
      </c>
      <c r="AF32">
        <v>0.66900999999999999</v>
      </c>
      <c r="AG32">
        <v>1</v>
      </c>
      <c r="AH32">
        <v>1</v>
      </c>
      <c r="AI32">
        <v>0</v>
      </c>
    </row>
    <row r="33" spans="1:35" x14ac:dyDescent="0.25">
      <c r="A33" t="s">
        <v>37</v>
      </c>
      <c r="B33">
        <v>24</v>
      </c>
      <c r="C33">
        <v>0.34799999999999998</v>
      </c>
      <c r="D33">
        <v>2</v>
      </c>
      <c r="E33">
        <v>4.5600000000000002E-2</v>
      </c>
      <c r="F33">
        <v>1</v>
      </c>
      <c r="G33">
        <v>0.52800000000000002</v>
      </c>
      <c r="I33" t="s">
        <v>42</v>
      </c>
      <c r="J33">
        <v>1</v>
      </c>
      <c r="K33">
        <v>0.189</v>
      </c>
      <c r="L33">
        <v>1</v>
      </c>
      <c r="M33">
        <v>0.189</v>
      </c>
      <c r="N33">
        <v>1</v>
      </c>
      <c r="O33">
        <v>1</v>
      </c>
      <c r="Q33" t="s">
        <v>39</v>
      </c>
      <c r="R33">
        <v>36</v>
      </c>
      <c r="S33">
        <v>0.54271000000000003</v>
      </c>
      <c r="T33">
        <v>2</v>
      </c>
      <c r="U33">
        <v>0.10058</v>
      </c>
      <c r="V33">
        <v>0.99748999999999999</v>
      </c>
      <c r="W33">
        <v>1</v>
      </c>
      <c r="X33">
        <v>1</v>
      </c>
      <c r="Y33">
        <v>0</v>
      </c>
      <c r="AA33" t="s">
        <v>43</v>
      </c>
      <c r="AB33">
        <v>1</v>
      </c>
      <c r="AC33">
        <v>0.21429000000000001</v>
      </c>
      <c r="AD33">
        <v>1</v>
      </c>
      <c r="AE33">
        <v>0.21429000000000001</v>
      </c>
      <c r="AF33">
        <v>0.66900999999999999</v>
      </c>
      <c r="AG33">
        <v>1</v>
      </c>
      <c r="AH33">
        <v>1</v>
      </c>
      <c r="AI33">
        <v>0</v>
      </c>
    </row>
    <row r="34" spans="1:35" x14ac:dyDescent="0.25">
      <c r="A34" t="s">
        <v>38</v>
      </c>
      <c r="B34">
        <v>70</v>
      </c>
      <c r="C34">
        <v>1.01</v>
      </c>
      <c r="D34">
        <v>3</v>
      </c>
      <c r="E34">
        <v>7.7100000000000002E-2</v>
      </c>
      <c r="F34">
        <v>1</v>
      </c>
      <c r="G34">
        <v>0.78</v>
      </c>
      <c r="I34" t="s">
        <v>43</v>
      </c>
      <c r="J34">
        <v>1</v>
      </c>
      <c r="K34">
        <v>0.189</v>
      </c>
      <c r="L34">
        <v>1</v>
      </c>
      <c r="M34">
        <v>0.189</v>
      </c>
      <c r="N34">
        <v>1</v>
      </c>
      <c r="O34">
        <v>1</v>
      </c>
      <c r="Q34" t="s">
        <v>40</v>
      </c>
      <c r="R34">
        <v>39</v>
      </c>
      <c r="S34">
        <v>0.58794000000000002</v>
      </c>
      <c r="T34">
        <v>2</v>
      </c>
      <c r="U34">
        <v>0.11514000000000001</v>
      </c>
      <c r="V34">
        <v>0.93876000000000004</v>
      </c>
      <c r="W34">
        <v>1</v>
      </c>
      <c r="X34">
        <v>1</v>
      </c>
      <c r="Y34">
        <v>2.9569999999999999E-2</v>
      </c>
      <c r="AA34" t="s">
        <v>42</v>
      </c>
      <c r="AB34">
        <v>1</v>
      </c>
      <c r="AC34">
        <v>0.21429000000000001</v>
      </c>
      <c r="AD34">
        <v>1</v>
      </c>
      <c r="AE34">
        <v>0.21429000000000001</v>
      </c>
      <c r="AF34">
        <v>0.66900999999999999</v>
      </c>
      <c r="AG34">
        <v>1</v>
      </c>
      <c r="AH34">
        <v>1</v>
      </c>
      <c r="AI34">
        <v>4.3610000000000003E-2</v>
      </c>
    </row>
    <row r="35" spans="1:35" x14ac:dyDescent="0.25">
      <c r="A35" t="s">
        <v>39</v>
      </c>
      <c r="B35">
        <v>35</v>
      </c>
      <c r="C35">
        <v>0.50700000000000001</v>
      </c>
      <c r="D35">
        <v>2</v>
      </c>
      <c r="E35">
        <v>8.9399999999999993E-2</v>
      </c>
      <c r="F35">
        <v>1</v>
      </c>
      <c r="G35">
        <v>0.80400000000000005</v>
      </c>
      <c r="I35" t="s">
        <v>44</v>
      </c>
      <c r="J35">
        <v>2</v>
      </c>
      <c r="K35">
        <v>0.379</v>
      </c>
      <c r="L35">
        <v>1</v>
      </c>
      <c r="M35">
        <v>0.34399999999999997</v>
      </c>
      <c r="N35">
        <v>1</v>
      </c>
      <c r="O35">
        <v>1</v>
      </c>
      <c r="Q35" t="s">
        <v>46</v>
      </c>
      <c r="R35">
        <v>9</v>
      </c>
      <c r="S35">
        <v>0.13568</v>
      </c>
      <c r="T35">
        <v>1</v>
      </c>
      <c r="U35">
        <v>0.12808</v>
      </c>
      <c r="V35">
        <v>0.89251000000000003</v>
      </c>
      <c r="W35">
        <v>1</v>
      </c>
      <c r="X35">
        <v>1</v>
      </c>
      <c r="Y35">
        <v>0.23810000000000001</v>
      </c>
      <c r="AA35" t="s">
        <v>45</v>
      </c>
      <c r="AB35">
        <v>2</v>
      </c>
      <c r="AC35">
        <v>0.42857000000000001</v>
      </c>
      <c r="AD35">
        <v>1</v>
      </c>
      <c r="AE35">
        <v>0.38417000000000001</v>
      </c>
      <c r="AF35">
        <v>0.41548000000000002</v>
      </c>
      <c r="AG35">
        <v>1</v>
      </c>
      <c r="AH35">
        <v>1</v>
      </c>
      <c r="AI35">
        <v>9.1109999999999997E-2</v>
      </c>
    </row>
    <row r="36" spans="1:35" x14ac:dyDescent="0.25">
      <c r="A36" t="s">
        <v>40</v>
      </c>
      <c r="B36">
        <v>39</v>
      </c>
      <c r="C36">
        <v>0.56499999999999995</v>
      </c>
      <c r="D36">
        <v>2</v>
      </c>
      <c r="E36">
        <v>0.108</v>
      </c>
      <c r="F36">
        <v>1</v>
      </c>
      <c r="G36">
        <v>0.871</v>
      </c>
      <c r="I36" t="s">
        <v>45</v>
      </c>
      <c r="J36">
        <v>2</v>
      </c>
      <c r="K36">
        <v>0.379</v>
      </c>
      <c r="L36">
        <v>1</v>
      </c>
      <c r="M36">
        <v>0.34399999999999997</v>
      </c>
      <c r="N36">
        <v>1</v>
      </c>
      <c r="O36">
        <v>1</v>
      </c>
      <c r="Q36" t="s">
        <v>42</v>
      </c>
      <c r="R36">
        <v>16</v>
      </c>
      <c r="S36">
        <v>0.24121000000000001</v>
      </c>
      <c r="T36">
        <v>1</v>
      </c>
      <c r="U36">
        <v>0.21667</v>
      </c>
      <c r="V36">
        <v>0.66420000000000001</v>
      </c>
      <c r="W36">
        <v>1</v>
      </c>
      <c r="X36">
        <v>1</v>
      </c>
      <c r="Y36">
        <v>4.3610000000000003E-2</v>
      </c>
      <c r="AA36" t="s">
        <v>44</v>
      </c>
      <c r="AB36">
        <v>2</v>
      </c>
      <c r="AC36">
        <v>0.42857000000000001</v>
      </c>
      <c r="AD36">
        <v>1</v>
      </c>
      <c r="AE36">
        <v>0.38417000000000001</v>
      </c>
      <c r="AF36">
        <v>0.41548000000000002</v>
      </c>
      <c r="AG36">
        <v>1</v>
      </c>
      <c r="AH36">
        <v>1</v>
      </c>
      <c r="AI36">
        <v>9.6390000000000003E-2</v>
      </c>
    </row>
    <row r="37" spans="1:35" x14ac:dyDescent="0.25">
      <c r="AA37" t="s">
        <v>38</v>
      </c>
      <c r="AB37">
        <v>12</v>
      </c>
      <c r="AC37">
        <v>2.5714000000000001</v>
      </c>
      <c r="AD37">
        <v>3</v>
      </c>
      <c r="AE37">
        <v>0.49754999999999999</v>
      </c>
      <c r="AF37">
        <v>0.30317</v>
      </c>
      <c r="AG37">
        <v>1</v>
      </c>
      <c r="AH37">
        <v>1</v>
      </c>
      <c r="AI37">
        <v>7.3169999999999999E-2</v>
      </c>
    </row>
    <row r="38" spans="1:35" x14ac:dyDescent="0.25">
      <c r="AA38" t="s">
        <v>134</v>
      </c>
      <c r="AB38">
        <v>3</v>
      </c>
      <c r="AC38">
        <v>0.64285999999999999</v>
      </c>
      <c r="AD38">
        <v>1</v>
      </c>
      <c r="AE38">
        <v>0.51853000000000005</v>
      </c>
      <c r="AF38">
        <v>0.28521999999999997</v>
      </c>
      <c r="AG38">
        <v>1</v>
      </c>
      <c r="AH38">
        <v>1</v>
      </c>
      <c r="AI38">
        <v>0</v>
      </c>
    </row>
    <row r="39" spans="1:35" x14ac:dyDescent="0.25">
      <c r="A39" s="1" t="s">
        <v>137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I39" s="1" t="s">
        <v>48</v>
      </c>
      <c r="J39" t="s">
        <v>0</v>
      </c>
      <c r="K39" t="s">
        <v>1</v>
      </c>
      <c r="L39" t="s">
        <v>2</v>
      </c>
      <c r="M39" t="s">
        <v>3</v>
      </c>
      <c r="N39" t="s">
        <v>4</v>
      </c>
      <c r="O39" t="s">
        <v>5</v>
      </c>
      <c r="R39" s="2" t="s">
        <v>32</v>
      </c>
      <c r="AA39" t="s">
        <v>47</v>
      </c>
      <c r="AB39">
        <v>3</v>
      </c>
      <c r="AC39">
        <v>0.64285999999999999</v>
      </c>
      <c r="AD39">
        <v>1</v>
      </c>
      <c r="AE39">
        <v>0.51853000000000005</v>
      </c>
      <c r="AF39">
        <v>0.28521999999999997</v>
      </c>
      <c r="AG39">
        <v>1</v>
      </c>
      <c r="AH39">
        <v>1</v>
      </c>
      <c r="AI39">
        <v>0.13850999999999999</v>
      </c>
    </row>
    <row r="40" spans="1:35" x14ac:dyDescent="0.25">
      <c r="A40" t="s">
        <v>49</v>
      </c>
      <c r="B40">
        <v>25</v>
      </c>
      <c r="C40">
        <v>0.13300000000000001</v>
      </c>
      <c r="D40">
        <v>5</v>
      </c>
      <c r="E40" s="5" t="s">
        <v>50</v>
      </c>
      <c r="F40">
        <v>4.8500000000000003E-4</v>
      </c>
      <c r="G40">
        <v>1.6200000000000001E-4</v>
      </c>
      <c r="I40" t="s">
        <v>76</v>
      </c>
      <c r="J40">
        <v>3</v>
      </c>
      <c r="K40">
        <v>0.56799999999999995</v>
      </c>
      <c r="L40">
        <v>3</v>
      </c>
      <c r="M40">
        <v>6.3699999999999998E-3</v>
      </c>
      <c r="N40">
        <v>1</v>
      </c>
      <c r="O40">
        <v>1</v>
      </c>
      <c r="Q40" s="1" t="s">
        <v>135</v>
      </c>
      <c r="R40">
        <v>29</v>
      </c>
    </row>
    <row r="41" spans="1:35" x14ac:dyDescent="0.25">
      <c r="A41" t="s">
        <v>51</v>
      </c>
      <c r="B41">
        <v>25</v>
      </c>
      <c r="C41">
        <v>0.13300000000000001</v>
      </c>
      <c r="D41">
        <v>5</v>
      </c>
      <c r="E41" s="5" t="s">
        <v>50</v>
      </c>
      <c r="F41">
        <v>4.8500000000000003E-4</v>
      </c>
      <c r="G41">
        <v>1.6200000000000001E-4</v>
      </c>
      <c r="I41" s="14" t="s">
        <v>53</v>
      </c>
      <c r="J41">
        <v>3</v>
      </c>
      <c r="K41">
        <v>0.56799999999999995</v>
      </c>
      <c r="L41">
        <v>3</v>
      </c>
      <c r="M41">
        <v>6.3699999999999998E-3</v>
      </c>
      <c r="N41">
        <v>1</v>
      </c>
      <c r="O41">
        <v>1</v>
      </c>
      <c r="Q41" s="1" t="s">
        <v>136</v>
      </c>
      <c r="R41">
        <v>22</v>
      </c>
      <c r="U41" s="15"/>
      <c r="V41" s="15"/>
    </row>
    <row r="42" spans="1:35" x14ac:dyDescent="0.25">
      <c r="A42" t="s">
        <v>52</v>
      </c>
      <c r="B42">
        <v>25</v>
      </c>
      <c r="C42">
        <v>0.13300000000000001</v>
      </c>
      <c r="D42">
        <v>5</v>
      </c>
      <c r="E42" s="5" t="s">
        <v>50</v>
      </c>
      <c r="F42">
        <v>4.8500000000000003E-4</v>
      </c>
      <c r="G42">
        <v>1.6200000000000001E-4</v>
      </c>
      <c r="I42" t="s">
        <v>83</v>
      </c>
      <c r="J42">
        <v>3</v>
      </c>
      <c r="K42">
        <v>0.56799999999999995</v>
      </c>
      <c r="L42">
        <v>3</v>
      </c>
      <c r="M42">
        <v>6.3699999999999998E-3</v>
      </c>
      <c r="N42">
        <v>1</v>
      </c>
      <c r="O42">
        <v>1</v>
      </c>
      <c r="Q42" s="1" t="s">
        <v>137</v>
      </c>
      <c r="R42">
        <v>9</v>
      </c>
    </row>
    <row r="43" spans="1:35" x14ac:dyDescent="0.25">
      <c r="A43" s="14" t="s">
        <v>53</v>
      </c>
      <c r="B43">
        <v>14</v>
      </c>
      <c r="C43">
        <v>7.4700000000000003E-2</v>
      </c>
      <c r="D43">
        <v>4</v>
      </c>
      <c r="E43" s="5" t="s">
        <v>54</v>
      </c>
      <c r="F43">
        <v>2.0999999999999999E-3</v>
      </c>
      <c r="G43">
        <v>5.2499999999999997E-4</v>
      </c>
      <c r="I43" s="6" t="s">
        <v>78</v>
      </c>
      <c r="J43">
        <v>3</v>
      </c>
      <c r="K43">
        <v>0.56799999999999995</v>
      </c>
      <c r="L43">
        <v>3</v>
      </c>
      <c r="M43">
        <v>6.3699999999999998E-3</v>
      </c>
      <c r="N43">
        <v>1</v>
      </c>
      <c r="O43">
        <v>1</v>
      </c>
      <c r="Q43" s="1" t="s">
        <v>306</v>
      </c>
      <c r="R43">
        <v>27</v>
      </c>
    </row>
    <row r="44" spans="1:35" x14ac:dyDescent="0.25">
      <c r="A44" t="s">
        <v>55</v>
      </c>
      <c r="B44">
        <v>157</v>
      </c>
      <c r="C44">
        <v>0.83699999999999997</v>
      </c>
      <c r="D44">
        <v>8</v>
      </c>
      <c r="E44" s="5" t="s">
        <v>56</v>
      </c>
      <c r="F44">
        <v>3.15E-3</v>
      </c>
      <c r="G44">
        <v>6.3100000000000005E-4</v>
      </c>
      <c r="I44" s="4" t="s">
        <v>89</v>
      </c>
      <c r="J44">
        <v>4</v>
      </c>
      <c r="K44">
        <v>0.75700000000000001</v>
      </c>
      <c r="L44">
        <v>3</v>
      </c>
      <c r="M44">
        <v>2.2100000000000002E-2</v>
      </c>
      <c r="N44">
        <v>1</v>
      </c>
      <c r="O44">
        <v>1</v>
      </c>
      <c r="Q44" s="1" t="s">
        <v>138</v>
      </c>
      <c r="R44">
        <v>23</v>
      </c>
    </row>
    <row r="45" spans="1:35" x14ac:dyDescent="0.25">
      <c r="A45" s="3" t="s">
        <v>21</v>
      </c>
      <c r="B45">
        <v>39</v>
      </c>
      <c r="C45">
        <v>0.20799999999999999</v>
      </c>
      <c r="D45">
        <v>5</v>
      </c>
      <c r="E45" s="5" t="s">
        <v>57</v>
      </c>
      <c r="F45">
        <v>4.9899999999999996E-3</v>
      </c>
      <c r="G45">
        <v>8.3299999999999997E-4</v>
      </c>
      <c r="I45" t="s">
        <v>107</v>
      </c>
      <c r="J45">
        <v>4</v>
      </c>
      <c r="K45">
        <v>0.75700000000000001</v>
      </c>
      <c r="L45">
        <v>3</v>
      </c>
      <c r="M45">
        <v>2.2100000000000002E-2</v>
      </c>
      <c r="N45">
        <v>1</v>
      </c>
      <c r="O45">
        <v>1</v>
      </c>
    </row>
    <row r="46" spans="1:35" x14ac:dyDescent="0.25">
      <c r="A46" t="s">
        <v>58</v>
      </c>
      <c r="B46">
        <v>23</v>
      </c>
      <c r="C46">
        <v>0.123</v>
      </c>
      <c r="D46">
        <v>4</v>
      </c>
      <c r="E46" s="5" t="s">
        <v>59</v>
      </c>
      <c r="F46">
        <v>1.7899999999999999E-2</v>
      </c>
      <c r="G46">
        <v>1.5900000000000001E-3</v>
      </c>
      <c r="I46" t="s">
        <v>49</v>
      </c>
      <c r="J46">
        <v>7</v>
      </c>
      <c r="K46">
        <v>1.33</v>
      </c>
      <c r="L46">
        <v>4</v>
      </c>
      <c r="M46">
        <v>2.53E-2</v>
      </c>
      <c r="N46">
        <v>1</v>
      </c>
      <c r="O46">
        <v>1</v>
      </c>
    </row>
    <row r="47" spans="1:35" x14ac:dyDescent="0.25">
      <c r="A47" t="s">
        <v>60</v>
      </c>
      <c r="B47">
        <v>91</v>
      </c>
      <c r="C47">
        <v>0.48499999999999999</v>
      </c>
      <c r="D47">
        <v>6</v>
      </c>
      <c r="E47" s="5" t="s">
        <v>61</v>
      </c>
      <c r="F47">
        <v>2.0799999999999999E-2</v>
      </c>
      <c r="G47">
        <v>1.5900000000000001E-3</v>
      </c>
      <c r="I47" t="s">
        <v>51</v>
      </c>
      <c r="J47">
        <v>7</v>
      </c>
      <c r="K47">
        <v>1.33</v>
      </c>
      <c r="L47">
        <v>4</v>
      </c>
      <c r="M47">
        <v>2.53E-2</v>
      </c>
      <c r="N47">
        <v>1</v>
      </c>
      <c r="O47">
        <v>1</v>
      </c>
    </row>
    <row r="48" spans="1:35" x14ac:dyDescent="0.25">
      <c r="A48" t="s">
        <v>62</v>
      </c>
      <c r="B48">
        <v>24</v>
      </c>
      <c r="C48">
        <v>0.128</v>
      </c>
      <c r="D48">
        <v>4</v>
      </c>
      <c r="E48" s="5" t="s">
        <v>63</v>
      </c>
      <c r="F48">
        <v>2.1399999999999999E-2</v>
      </c>
      <c r="G48">
        <v>1.5900000000000001E-3</v>
      </c>
      <c r="I48" t="s">
        <v>52</v>
      </c>
      <c r="J48">
        <v>7</v>
      </c>
      <c r="K48">
        <v>1.33</v>
      </c>
      <c r="L48">
        <v>4</v>
      </c>
      <c r="M48">
        <v>2.53E-2</v>
      </c>
      <c r="N48">
        <v>1</v>
      </c>
      <c r="O48">
        <v>1</v>
      </c>
    </row>
    <row r="49" spans="1:15" x14ac:dyDescent="0.25">
      <c r="A49" t="s">
        <v>10</v>
      </c>
      <c r="B49">
        <v>25</v>
      </c>
      <c r="C49">
        <v>0.13300000000000001</v>
      </c>
      <c r="D49">
        <v>4</v>
      </c>
      <c r="E49" s="5" t="s">
        <v>64</v>
      </c>
      <c r="F49">
        <v>2.5399999999999999E-2</v>
      </c>
      <c r="G49">
        <v>1.5900000000000001E-3</v>
      </c>
      <c r="I49" s="14" t="s">
        <v>53</v>
      </c>
      <c r="J49">
        <v>7</v>
      </c>
      <c r="K49">
        <v>1.33</v>
      </c>
      <c r="L49">
        <v>4</v>
      </c>
      <c r="M49">
        <v>2.53E-2</v>
      </c>
      <c r="N49">
        <v>1</v>
      </c>
      <c r="O49">
        <v>1</v>
      </c>
    </row>
    <row r="50" spans="1:15" x14ac:dyDescent="0.25">
      <c r="A50" t="s">
        <v>65</v>
      </c>
      <c r="B50">
        <v>25</v>
      </c>
      <c r="C50">
        <v>0.13300000000000001</v>
      </c>
      <c r="D50">
        <v>4</v>
      </c>
      <c r="E50" s="5" t="s">
        <v>64</v>
      </c>
      <c r="F50">
        <v>2.5399999999999999E-2</v>
      </c>
      <c r="G50">
        <v>1.5900000000000001E-3</v>
      </c>
      <c r="I50" t="s">
        <v>116</v>
      </c>
      <c r="J50">
        <v>2</v>
      </c>
      <c r="K50">
        <v>0.379</v>
      </c>
      <c r="L50">
        <v>2</v>
      </c>
      <c r="M50">
        <v>3.5099999999999999E-2</v>
      </c>
      <c r="N50">
        <v>1</v>
      </c>
      <c r="O50">
        <v>1</v>
      </c>
    </row>
    <row r="51" spans="1:15" x14ac:dyDescent="0.25">
      <c r="A51" t="s">
        <v>66</v>
      </c>
      <c r="B51">
        <v>25</v>
      </c>
      <c r="C51">
        <v>0.13300000000000001</v>
      </c>
      <c r="D51">
        <v>4</v>
      </c>
      <c r="E51" s="5" t="s">
        <v>64</v>
      </c>
      <c r="F51">
        <v>2.5399999999999999E-2</v>
      </c>
      <c r="G51">
        <v>1.5900000000000001E-3</v>
      </c>
      <c r="I51" s="4" t="s">
        <v>117</v>
      </c>
      <c r="J51">
        <v>2</v>
      </c>
      <c r="K51">
        <v>0.379</v>
      </c>
      <c r="L51">
        <v>2</v>
      </c>
      <c r="M51">
        <v>3.5099999999999999E-2</v>
      </c>
      <c r="N51">
        <v>1</v>
      </c>
      <c r="O51">
        <v>1</v>
      </c>
    </row>
    <row r="52" spans="1:15" x14ac:dyDescent="0.25">
      <c r="A52" t="s">
        <v>67</v>
      </c>
      <c r="B52">
        <v>25</v>
      </c>
      <c r="C52">
        <v>0.13300000000000001</v>
      </c>
      <c r="D52">
        <v>4</v>
      </c>
      <c r="E52" s="5" t="s">
        <v>64</v>
      </c>
      <c r="F52">
        <v>2.5399999999999999E-2</v>
      </c>
      <c r="G52">
        <v>1.5900000000000001E-3</v>
      </c>
      <c r="I52" t="s">
        <v>118</v>
      </c>
      <c r="J52">
        <v>2</v>
      </c>
      <c r="K52">
        <v>0.379</v>
      </c>
      <c r="L52">
        <v>2</v>
      </c>
      <c r="M52">
        <v>3.5099999999999999E-2</v>
      </c>
      <c r="N52">
        <v>1</v>
      </c>
      <c r="O52">
        <v>1</v>
      </c>
    </row>
    <row r="53" spans="1:15" x14ac:dyDescent="0.25">
      <c r="A53" t="s">
        <v>68</v>
      </c>
      <c r="B53">
        <v>25</v>
      </c>
      <c r="C53">
        <v>0.13300000000000001</v>
      </c>
      <c r="D53">
        <v>4</v>
      </c>
      <c r="E53" s="5" t="s">
        <v>64</v>
      </c>
      <c r="F53">
        <v>2.5399999999999999E-2</v>
      </c>
      <c r="G53">
        <v>1.5900000000000001E-3</v>
      </c>
      <c r="I53" t="s">
        <v>10</v>
      </c>
      <c r="J53">
        <v>8</v>
      </c>
      <c r="K53">
        <v>1.51</v>
      </c>
      <c r="L53">
        <v>4</v>
      </c>
      <c r="M53">
        <v>4.36E-2</v>
      </c>
      <c r="N53">
        <v>1</v>
      </c>
      <c r="O53">
        <v>1</v>
      </c>
    </row>
    <row r="54" spans="1:15" x14ac:dyDescent="0.25">
      <c r="A54" t="s">
        <v>69</v>
      </c>
      <c r="B54">
        <v>25</v>
      </c>
      <c r="C54">
        <v>0.13300000000000001</v>
      </c>
      <c r="D54">
        <v>4</v>
      </c>
      <c r="E54" s="5" t="s">
        <v>64</v>
      </c>
      <c r="F54">
        <v>2.5399999999999999E-2</v>
      </c>
      <c r="G54">
        <v>1.5900000000000001E-3</v>
      </c>
      <c r="I54" t="s">
        <v>65</v>
      </c>
      <c r="J54">
        <v>8</v>
      </c>
      <c r="K54">
        <v>1.51</v>
      </c>
      <c r="L54">
        <v>4</v>
      </c>
      <c r="M54">
        <v>4.36E-2</v>
      </c>
      <c r="N54">
        <v>1</v>
      </c>
      <c r="O54">
        <v>1</v>
      </c>
    </row>
    <row r="55" spans="1:15" x14ac:dyDescent="0.25">
      <c r="A55" t="s">
        <v>70</v>
      </c>
      <c r="B55">
        <v>25</v>
      </c>
      <c r="C55">
        <v>0.13300000000000001</v>
      </c>
      <c r="D55">
        <v>4</v>
      </c>
      <c r="E55" s="5" t="s">
        <v>64</v>
      </c>
      <c r="F55">
        <v>2.5399999999999999E-2</v>
      </c>
      <c r="G55">
        <v>1.5900000000000001E-3</v>
      </c>
      <c r="I55" t="s">
        <v>66</v>
      </c>
      <c r="J55">
        <v>8</v>
      </c>
      <c r="K55">
        <v>1.51</v>
      </c>
      <c r="L55">
        <v>4</v>
      </c>
      <c r="M55">
        <v>4.36E-2</v>
      </c>
      <c r="N55">
        <v>1</v>
      </c>
      <c r="O55">
        <v>1</v>
      </c>
    </row>
    <row r="56" spans="1:15" x14ac:dyDescent="0.25">
      <c r="A56" t="s">
        <v>71</v>
      </c>
      <c r="B56">
        <v>26</v>
      </c>
      <c r="C56">
        <v>0.13900000000000001</v>
      </c>
      <c r="D56">
        <v>4</v>
      </c>
      <c r="E56" s="5" t="s">
        <v>72</v>
      </c>
      <c r="F56">
        <v>2.9899999999999999E-2</v>
      </c>
      <c r="G56">
        <v>1.67E-3</v>
      </c>
      <c r="I56" t="s">
        <v>67</v>
      </c>
      <c r="J56">
        <v>8</v>
      </c>
      <c r="K56">
        <v>1.51</v>
      </c>
      <c r="L56">
        <v>4</v>
      </c>
      <c r="M56">
        <v>4.36E-2</v>
      </c>
      <c r="N56">
        <v>1</v>
      </c>
      <c r="O56">
        <v>1</v>
      </c>
    </row>
    <row r="57" spans="1:15" x14ac:dyDescent="0.25">
      <c r="A57" t="s">
        <v>73</v>
      </c>
      <c r="B57">
        <v>26</v>
      </c>
      <c r="C57">
        <v>0.13900000000000001</v>
      </c>
      <c r="D57">
        <v>4</v>
      </c>
      <c r="E57" s="5" t="s">
        <v>72</v>
      </c>
      <c r="F57">
        <v>2.9899999999999999E-2</v>
      </c>
      <c r="G57">
        <v>1.67E-3</v>
      </c>
      <c r="I57" t="s">
        <v>68</v>
      </c>
      <c r="J57">
        <v>8</v>
      </c>
      <c r="K57">
        <v>1.51</v>
      </c>
      <c r="L57">
        <v>4</v>
      </c>
      <c r="M57">
        <v>4.36E-2</v>
      </c>
      <c r="N57">
        <v>1</v>
      </c>
      <c r="O57">
        <v>1</v>
      </c>
    </row>
    <row r="58" spans="1:15" x14ac:dyDescent="0.25">
      <c r="A58" s="4" t="s">
        <v>74</v>
      </c>
      <c r="B58">
        <v>100</v>
      </c>
      <c r="C58">
        <v>0.53300000000000003</v>
      </c>
      <c r="D58">
        <v>6</v>
      </c>
      <c r="E58" s="5" t="s">
        <v>75</v>
      </c>
      <c r="F58">
        <v>3.5999999999999997E-2</v>
      </c>
      <c r="G58">
        <v>1.8E-3</v>
      </c>
      <c r="I58" t="s">
        <v>69</v>
      </c>
      <c r="J58">
        <v>8</v>
      </c>
      <c r="K58">
        <v>1.51</v>
      </c>
      <c r="L58">
        <v>4</v>
      </c>
      <c r="M58">
        <v>4.36E-2</v>
      </c>
      <c r="N58">
        <v>1</v>
      </c>
      <c r="O58">
        <v>1</v>
      </c>
    </row>
    <row r="59" spans="1:15" x14ac:dyDescent="0.25">
      <c r="A59" t="s">
        <v>76</v>
      </c>
      <c r="B59">
        <v>9</v>
      </c>
      <c r="C59">
        <v>4.8000000000000001E-2</v>
      </c>
      <c r="D59">
        <v>3</v>
      </c>
      <c r="E59" s="5" t="s">
        <v>77</v>
      </c>
      <c r="F59">
        <v>3.7699999999999997E-2</v>
      </c>
      <c r="G59">
        <v>1.8E-3</v>
      </c>
      <c r="I59" t="s">
        <v>70</v>
      </c>
      <c r="J59">
        <v>8</v>
      </c>
      <c r="K59">
        <v>1.51</v>
      </c>
      <c r="L59">
        <v>4</v>
      </c>
      <c r="M59">
        <v>4.36E-2</v>
      </c>
      <c r="N59">
        <v>1</v>
      </c>
      <c r="O59">
        <v>1</v>
      </c>
    </row>
    <row r="60" spans="1:15" x14ac:dyDescent="0.25">
      <c r="A60" s="6" t="s">
        <v>78</v>
      </c>
      <c r="B60">
        <v>9</v>
      </c>
      <c r="C60">
        <v>4.8000000000000001E-2</v>
      </c>
      <c r="D60">
        <v>3</v>
      </c>
      <c r="E60" s="5" t="s">
        <v>77</v>
      </c>
      <c r="F60">
        <v>3.7699999999999997E-2</v>
      </c>
      <c r="G60">
        <v>1.8E-3</v>
      </c>
      <c r="I60" t="s">
        <v>119</v>
      </c>
      <c r="J60">
        <v>5</v>
      </c>
      <c r="K60">
        <v>0.94699999999999995</v>
      </c>
      <c r="L60">
        <v>3</v>
      </c>
      <c r="M60">
        <v>4.7899999999999998E-2</v>
      </c>
      <c r="N60">
        <v>1</v>
      </c>
      <c r="O60">
        <v>1</v>
      </c>
    </row>
    <row r="61" spans="1:15" x14ac:dyDescent="0.25">
      <c r="A61" t="s">
        <v>79</v>
      </c>
      <c r="B61">
        <v>157</v>
      </c>
      <c r="C61">
        <v>0.83699999999999997</v>
      </c>
      <c r="D61">
        <v>7</v>
      </c>
      <c r="E61" s="5" t="s">
        <v>80</v>
      </c>
      <c r="F61">
        <v>4.19E-2</v>
      </c>
      <c r="G61">
        <v>1.92E-3</v>
      </c>
      <c r="I61" s="3" t="s">
        <v>7</v>
      </c>
      <c r="J61">
        <v>5</v>
      </c>
      <c r="K61">
        <v>0.94699999999999995</v>
      </c>
      <c r="L61">
        <v>3</v>
      </c>
      <c r="M61">
        <v>4.7899999999999998E-2</v>
      </c>
      <c r="N61">
        <v>1</v>
      </c>
      <c r="O61">
        <v>1</v>
      </c>
    </row>
    <row r="62" spans="1:15" x14ac:dyDescent="0.25">
      <c r="A62" t="s">
        <v>81</v>
      </c>
      <c r="B62">
        <v>107</v>
      </c>
      <c r="C62">
        <v>0.57099999999999995</v>
      </c>
      <c r="D62">
        <v>6</v>
      </c>
      <c r="E62" s="5" t="s">
        <v>82</v>
      </c>
      <c r="F62">
        <v>5.3100000000000001E-2</v>
      </c>
      <c r="G62">
        <v>2.0899999999999998E-3</v>
      </c>
      <c r="I62" t="s">
        <v>105</v>
      </c>
      <c r="J62">
        <v>5</v>
      </c>
      <c r="K62">
        <v>0.94699999999999995</v>
      </c>
      <c r="L62">
        <v>3</v>
      </c>
      <c r="M62">
        <v>4.7899999999999998E-2</v>
      </c>
      <c r="N62">
        <v>1</v>
      </c>
      <c r="O62">
        <v>1</v>
      </c>
    </row>
    <row r="63" spans="1:15" x14ac:dyDescent="0.25">
      <c r="A63" t="s">
        <v>83</v>
      </c>
      <c r="B63">
        <v>10</v>
      </c>
      <c r="C63">
        <v>5.33E-2</v>
      </c>
      <c r="D63">
        <v>3</v>
      </c>
      <c r="E63" s="5" t="s">
        <v>84</v>
      </c>
      <c r="F63">
        <v>5.3600000000000002E-2</v>
      </c>
      <c r="G63">
        <v>2.0899999999999998E-3</v>
      </c>
      <c r="I63" t="s">
        <v>106</v>
      </c>
      <c r="J63">
        <v>5</v>
      </c>
      <c r="K63">
        <v>0.94699999999999995</v>
      </c>
      <c r="L63">
        <v>3</v>
      </c>
      <c r="M63">
        <v>4.7899999999999998E-2</v>
      </c>
      <c r="N63">
        <v>1</v>
      </c>
      <c r="O63">
        <v>1</v>
      </c>
    </row>
    <row r="64" spans="1:15" x14ac:dyDescent="0.25">
      <c r="A64" t="s">
        <v>85</v>
      </c>
      <c r="B64">
        <v>10</v>
      </c>
      <c r="C64">
        <v>5.33E-2</v>
      </c>
      <c r="D64">
        <v>3</v>
      </c>
      <c r="E64" s="5" t="s">
        <v>84</v>
      </c>
      <c r="F64">
        <v>5.3600000000000002E-2</v>
      </c>
      <c r="G64">
        <v>2.0899999999999998E-3</v>
      </c>
      <c r="I64" s="6" t="s">
        <v>114</v>
      </c>
      <c r="J64">
        <v>5</v>
      </c>
      <c r="K64">
        <v>0.94699999999999995</v>
      </c>
      <c r="L64">
        <v>3</v>
      </c>
      <c r="M64">
        <v>4.7899999999999998E-2</v>
      </c>
      <c r="N64">
        <v>1</v>
      </c>
      <c r="O64">
        <v>1</v>
      </c>
    </row>
    <row r="65" spans="1:15" x14ac:dyDescent="0.25">
      <c r="A65" t="s">
        <v>12</v>
      </c>
      <c r="B65">
        <v>30</v>
      </c>
      <c r="C65">
        <v>0.16</v>
      </c>
      <c r="D65">
        <v>4</v>
      </c>
      <c r="E65" s="5" t="s">
        <v>86</v>
      </c>
      <c r="F65">
        <v>5.3800000000000001E-2</v>
      </c>
      <c r="G65">
        <v>2.0899999999999998E-3</v>
      </c>
      <c r="I65" t="s">
        <v>55</v>
      </c>
      <c r="J65">
        <v>20</v>
      </c>
      <c r="K65">
        <v>3.79</v>
      </c>
      <c r="L65">
        <v>7</v>
      </c>
      <c r="M65">
        <v>5.79E-2</v>
      </c>
      <c r="N65">
        <v>1</v>
      </c>
      <c r="O65">
        <v>1</v>
      </c>
    </row>
    <row r="66" spans="1:15" x14ac:dyDescent="0.25">
      <c r="A66" t="s">
        <v>87</v>
      </c>
      <c r="B66">
        <v>110</v>
      </c>
      <c r="C66">
        <v>0.58699999999999997</v>
      </c>
      <c r="D66">
        <v>6</v>
      </c>
      <c r="E66" s="5" t="s">
        <v>88</v>
      </c>
      <c r="F66">
        <v>6.2199999999999998E-2</v>
      </c>
      <c r="G66">
        <v>2.32E-3</v>
      </c>
      <c r="I66" t="s">
        <v>58</v>
      </c>
      <c r="J66">
        <v>9</v>
      </c>
      <c r="K66">
        <v>1.7</v>
      </c>
      <c r="L66">
        <v>4</v>
      </c>
      <c r="M66">
        <v>6.7799999999999999E-2</v>
      </c>
      <c r="N66">
        <v>1</v>
      </c>
      <c r="O66">
        <v>1</v>
      </c>
    </row>
    <row r="67" spans="1:15" x14ac:dyDescent="0.25">
      <c r="A67" s="4" t="s">
        <v>89</v>
      </c>
      <c r="B67">
        <v>11</v>
      </c>
      <c r="C67">
        <v>5.8700000000000002E-2</v>
      </c>
      <c r="D67">
        <v>3</v>
      </c>
      <c r="E67" s="5" t="s">
        <v>90</v>
      </c>
      <c r="F67">
        <v>7.3300000000000004E-2</v>
      </c>
      <c r="G67">
        <v>2.64E-3</v>
      </c>
      <c r="I67" s="3" t="s">
        <v>21</v>
      </c>
      <c r="J67">
        <v>13</v>
      </c>
      <c r="K67">
        <v>2.46</v>
      </c>
      <c r="L67">
        <v>5</v>
      </c>
      <c r="M67">
        <v>7.4999999999999997E-2</v>
      </c>
      <c r="N67">
        <v>1</v>
      </c>
      <c r="O67">
        <v>1</v>
      </c>
    </row>
    <row r="68" spans="1:15" x14ac:dyDescent="0.25">
      <c r="A68" t="s">
        <v>91</v>
      </c>
      <c r="B68">
        <v>322</v>
      </c>
      <c r="C68">
        <v>1.72</v>
      </c>
      <c r="D68">
        <v>9</v>
      </c>
      <c r="E68" s="5" t="s">
        <v>92</v>
      </c>
      <c r="F68">
        <v>8.3000000000000004E-2</v>
      </c>
      <c r="G68">
        <v>2.8900000000000002E-3</v>
      </c>
      <c r="I68" t="s">
        <v>120</v>
      </c>
      <c r="J68">
        <v>6</v>
      </c>
      <c r="K68">
        <v>1.1399999999999999</v>
      </c>
      <c r="L68">
        <v>3</v>
      </c>
      <c r="M68">
        <v>8.3199999999999996E-2</v>
      </c>
      <c r="N68">
        <v>1</v>
      </c>
      <c r="O68">
        <v>1</v>
      </c>
    </row>
    <row r="69" spans="1:15" x14ac:dyDescent="0.25">
      <c r="A69" t="s">
        <v>93</v>
      </c>
      <c r="B69">
        <v>37</v>
      </c>
      <c r="C69">
        <v>0.19700000000000001</v>
      </c>
      <c r="D69">
        <v>4</v>
      </c>
      <c r="E69" s="5" t="s">
        <v>94</v>
      </c>
      <c r="F69">
        <v>0.126</v>
      </c>
      <c r="G69">
        <v>4.2500000000000003E-3</v>
      </c>
      <c r="I69" s="6" t="s">
        <v>32</v>
      </c>
      <c r="J69">
        <v>6</v>
      </c>
      <c r="K69">
        <v>1.1399999999999999</v>
      </c>
      <c r="L69">
        <v>3</v>
      </c>
      <c r="M69">
        <v>8.3199999999999996E-2</v>
      </c>
      <c r="N69">
        <v>1</v>
      </c>
      <c r="O69">
        <v>1</v>
      </c>
    </row>
    <row r="70" spans="1:15" x14ac:dyDescent="0.25">
      <c r="A70" t="s">
        <v>95</v>
      </c>
      <c r="B70">
        <v>38</v>
      </c>
      <c r="C70">
        <v>0.20300000000000001</v>
      </c>
      <c r="D70">
        <v>4</v>
      </c>
      <c r="E70" s="5" t="s">
        <v>96</v>
      </c>
      <c r="F70">
        <v>0.14099999999999999</v>
      </c>
      <c r="G70">
        <v>4.5799999999999999E-3</v>
      </c>
      <c r="I70" t="s">
        <v>85</v>
      </c>
      <c r="J70">
        <v>6</v>
      </c>
      <c r="K70">
        <v>1.1399999999999999</v>
      </c>
      <c r="L70">
        <v>3</v>
      </c>
      <c r="M70">
        <v>8.3199999999999996E-2</v>
      </c>
      <c r="N70">
        <v>1</v>
      </c>
      <c r="O70">
        <v>1</v>
      </c>
    </row>
    <row r="71" spans="1:15" x14ac:dyDescent="0.25">
      <c r="A71" t="s">
        <v>97</v>
      </c>
      <c r="B71">
        <v>78</v>
      </c>
      <c r="C71">
        <v>0.41599999999999998</v>
      </c>
      <c r="D71">
        <v>5</v>
      </c>
      <c r="E71" s="5" t="s">
        <v>98</v>
      </c>
      <c r="F71">
        <v>0.158</v>
      </c>
      <c r="G71">
        <v>4.8300000000000001E-3</v>
      </c>
      <c r="I71" t="s">
        <v>121</v>
      </c>
      <c r="J71">
        <v>3</v>
      </c>
      <c r="K71">
        <v>0.56799999999999995</v>
      </c>
      <c r="L71">
        <v>2</v>
      </c>
      <c r="M71">
        <v>9.2600000000000002E-2</v>
      </c>
      <c r="N71">
        <v>1</v>
      </c>
      <c r="O71">
        <v>1</v>
      </c>
    </row>
    <row r="72" spans="1:15" x14ac:dyDescent="0.25">
      <c r="A72" t="s">
        <v>99</v>
      </c>
      <c r="B72">
        <v>78</v>
      </c>
      <c r="C72">
        <v>0.41599999999999998</v>
      </c>
      <c r="D72">
        <v>5</v>
      </c>
      <c r="E72" s="5" t="s">
        <v>98</v>
      </c>
      <c r="F72">
        <v>0.158</v>
      </c>
      <c r="G72">
        <v>4.8300000000000001E-3</v>
      </c>
      <c r="I72" t="s">
        <v>122</v>
      </c>
      <c r="J72">
        <v>3</v>
      </c>
      <c r="K72">
        <v>0.56799999999999995</v>
      </c>
      <c r="L72">
        <v>2</v>
      </c>
      <c r="M72">
        <v>9.2600000000000002E-2</v>
      </c>
      <c r="N72">
        <v>1</v>
      </c>
      <c r="O72">
        <v>1</v>
      </c>
    </row>
    <row r="73" spans="1:15" x14ac:dyDescent="0.25">
      <c r="A73" t="s">
        <v>100</v>
      </c>
      <c r="B73">
        <v>194</v>
      </c>
      <c r="C73">
        <v>1.03</v>
      </c>
      <c r="D73">
        <v>7</v>
      </c>
      <c r="E73" s="5" t="s">
        <v>101</v>
      </c>
      <c r="F73">
        <v>0.16600000000000001</v>
      </c>
      <c r="G73">
        <v>4.9199999999999999E-3</v>
      </c>
      <c r="I73" t="s">
        <v>123</v>
      </c>
      <c r="J73">
        <v>3</v>
      </c>
      <c r="K73">
        <v>0.56799999999999995</v>
      </c>
      <c r="L73">
        <v>2</v>
      </c>
      <c r="M73">
        <v>9.2600000000000002E-2</v>
      </c>
      <c r="N73">
        <v>1</v>
      </c>
      <c r="O73">
        <v>1</v>
      </c>
    </row>
    <row r="74" spans="1:15" x14ac:dyDescent="0.25">
      <c r="A74" t="s">
        <v>102</v>
      </c>
      <c r="B74">
        <v>41</v>
      </c>
      <c r="C74">
        <v>0.219</v>
      </c>
      <c r="D74">
        <v>4</v>
      </c>
      <c r="E74" s="5" t="s">
        <v>103</v>
      </c>
      <c r="F74">
        <v>0.191</v>
      </c>
      <c r="G74">
        <v>5.1500000000000001E-3</v>
      </c>
      <c r="I74" t="s">
        <v>124</v>
      </c>
      <c r="J74">
        <v>3</v>
      </c>
      <c r="K74">
        <v>0.56799999999999995</v>
      </c>
      <c r="L74">
        <v>2</v>
      </c>
      <c r="M74">
        <v>9.2600000000000002E-2</v>
      </c>
      <c r="N74">
        <v>1</v>
      </c>
      <c r="O74">
        <v>1</v>
      </c>
    </row>
    <row r="75" spans="1:15" x14ac:dyDescent="0.25">
      <c r="A75" s="3" t="s">
        <v>7</v>
      </c>
      <c r="B75">
        <v>15</v>
      </c>
      <c r="C75">
        <v>0.08</v>
      </c>
      <c r="D75">
        <v>3</v>
      </c>
      <c r="E75" s="5" t="s">
        <v>104</v>
      </c>
      <c r="F75">
        <v>0.19900000000000001</v>
      </c>
      <c r="G75">
        <v>5.1500000000000001E-3</v>
      </c>
      <c r="I75" t="s">
        <v>110</v>
      </c>
      <c r="J75">
        <v>10</v>
      </c>
      <c r="K75">
        <v>1.89</v>
      </c>
      <c r="L75">
        <v>4</v>
      </c>
      <c r="M75">
        <v>9.7600000000000006E-2</v>
      </c>
      <c r="N75">
        <v>1</v>
      </c>
      <c r="O75">
        <v>1</v>
      </c>
    </row>
    <row r="76" spans="1:15" x14ac:dyDescent="0.25">
      <c r="A76" t="s">
        <v>105</v>
      </c>
      <c r="B76">
        <v>15</v>
      </c>
      <c r="C76">
        <v>0.08</v>
      </c>
      <c r="D76">
        <v>3</v>
      </c>
      <c r="E76" s="5" t="s">
        <v>104</v>
      </c>
      <c r="F76">
        <v>0.19900000000000001</v>
      </c>
      <c r="G76">
        <v>5.1500000000000001E-3</v>
      </c>
      <c r="I76" t="s">
        <v>74</v>
      </c>
      <c r="J76">
        <v>18</v>
      </c>
      <c r="K76">
        <v>3.41</v>
      </c>
      <c r="L76">
        <v>6</v>
      </c>
      <c r="M76">
        <v>9.8299999999999998E-2</v>
      </c>
      <c r="N76">
        <v>1</v>
      </c>
      <c r="O76">
        <v>1</v>
      </c>
    </row>
    <row r="77" spans="1:15" x14ac:dyDescent="0.25">
      <c r="A77" t="s">
        <v>106</v>
      </c>
      <c r="B77">
        <v>15</v>
      </c>
      <c r="C77">
        <v>0.08</v>
      </c>
      <c r="D77">
        <v>3</v>
      </c>
      <c r="E77" s="5" t="s">
        <v>104</v>
      </c>
      <c r="F77">
        <v>0.19900000000000001</v>
      </c>
      <c r="G77">
        <v>5.1500000000000001E-3</v>
      </c>
      <c r="I77" t="s">
        <v>87</v>
      </c>
      <c r="J77">
        <v>18</v>
      </c>
      <c r="K77">
        <v>3.41</v>
      </c>
      <c r="L77">
        <v>6</v>
      </c>
      <c r="M77">
        <v>9.8299999999999998E-2</v>
      </c>
      <c r="N77">
        <v>1</v>
      </c>
      <c r="O77">
        <v>1</v>
      </c>
    </row>
    <row r="78" spans="1:15" x14ac:dyDescent="0.25">
      <c r="A78" t="s">
        <v>107</v>
      </c>
      <c r="B78">
        <v>15</v>
      </c>
      <c r="C78">
        <v>0.08</v>
      </c>
      <c r="D78">
        <v>3</v>
      </c>
      <c r="E78" s="5" t="s">
        <v>104</v>
      </c>
      <c r="F78">
        <v>0.19900000000000001</v>
      </c>
      <c r="G78">
        <v>5.1500000000000001E-3</v>
      </c>
      <c r="I78" t="s">
        <v>125</v>
      </c>
      <c r="J78">
        <v>7</v>
      </c>
      <c r="K78">
        <v>1.33</v>
      </c>
      <c r="L78">
        <v>3</v>
      </c>
      <c r="M78">
        <v>0.127</v>
      </c>
      <c r="N78">
        <v>1</v>
      </c>
      <c r="O78">
        <v>1</v>
      </c>
    </row>
    <row r="79" spans="1:15" x14ac:dyDescent="0.25">
      <c r="A79" t="s">
        <v>108</v>
      </c>
      <c r="B79">
        <v>16</v>
      </c>
      <c r="C79">
        <v>8.5300000000000001E-2</v>
      </c>
      <c r="D79">
        <v>3</v>
      </c>
      <c r="E79" s="5" t="s">
        <v>109</v>
      </c>
      <c r="F79">
        <v>0.24399999999999999</v>
      </c>
      <c r="G79">
        <v>6.1599999999999997E-3</v>
      </c>
      <c r="I79" t="s">
        <v>126</v>
      </c>
      <c r="J79">
        <v>7</v>
      </c>
      <c r="K79">
        <v>1.33</v>
      </c>
      <c r="L79">
        <v>3</v>
      </c>
      <c r="M79">
        <v>0.127</v>
      </c>
      <c r="N79">
        <v>1</v>
      </c>
      <c r="O79">
        <v>1</v>
      </c>
    </row>
    <row r="80" spans="1:15" x14ac:dyDescent="0.25">
      <c r="A80" t="s">
        <v>110</v>
      </c>
      <c r="B80">
        <v>46</v>
      </c>
      <c r="C80">
        <v>0.245</v>
      </c>
      <c r="D80">
        <v>4</v>
      </c>
      <c r="E80" s="5" t="s">
        <v>111</v>
      </c>
      <c r="F80">
        <v>0.30099999999999999</v>
      </c>
      <c r="G80">
        <v>7.43E-3</v>
      </c>
      <c r="I80" t="s">
        <v>127</v>
      </c>
      <c r="J80">
        <v>7</v>
      </c>
      <c r="K80">
        <v>1.33</v>
      </c>
      <c r="L80">
        <v>3</v>
      </c>
      <c r="M80">
        <v>0.127</v>
      </c>
      <c r="N80">
        <v>1</v>
      </c>
      <c r="O80">
        <v>1</v>
      </c>
    </row>
    <row r="81" spans="1:15" x14ac:dyDescent="0.25">
      <c r="A81" t="s">
        <v>112</v>
      </c>
      <c r="B81">
        <v>47</v>
      </c>
      <c r="C81">
        <v>0.251</v>
      </c>
      <c r="D81">
        <v>4</v>
      </c>
      <c r="E81" s="5" t="s">
        <v>113</v>
      </c>
      <c r="F81">
        <v>0.32800000000000001</v>
      </c>
      <c r="G81">
        <v>7.9000000000000008E-3</v>
      </c>
      <c r="I81" t="s">
        <v>128</v>
      </c>
      <c r="J81">
        <v>7</v>
      </c>
      <c r="K81">
        <v>1.33</v>
      </c>
      <c r="L81">
        <v>3</v>
      </c>
      <c r="M81">
        <v>0.127</v>
      </c>
      <c r="N81">
        <v>1</v>
      </c>
      <c r="O81">
        <v>1</v>
      </c>
    </row>
    <row r="82" spans="1:15" x14ac:dyDescent="0.25">
      <c r="A82" t="s">
        <v>114</v>
      </c>
      <c r="B82">
        <v>18</v>
      </c>
      <c r="C82">
        <v>9.6000000000000002E-2</v>
      </c>
      <c r="D82">
        <v>3</v>
      </c>
      <c r="E82">
        <v>1.0399999999999999E-4</v>
      </c>
      <c r="F82">
        <v>0.35199999999999998</v>
      </c>
      <c r="G82">
        <v>8.2000000000000007E-3</v>
      </c>
      <c r="I82" t="s">
        <v>13</v>
      </c>
      <c r="J82">
        <v>7</v>
      </c>
      <c r="K82">
        <v>1.33</v>
      </c>
      <c r="L82">
        <v>3</v>
      </c>
      <c r="M82">
        <v>0.127</v>
      </c>
      <c r="N82">
        <v>1</v>
      </c>
      <c r="O82">
        <v>1</v>
      </c>
    </row>
    <row r="83" spans="1:15" x14ac:dyDescent="0.25">
      <c r="A83" t="s">
        <v>115</v>
      </c>
      <c r="B83">
        <v>48</v>
      </c>
      <c r="C83">
        <v>0.25600000000000001</v>
      </c>
      <c r="D83">
        <v>4</v>
      </c>
      <c r="E83">
        <v>1.05E-4</v>
      </c>
      <c r="F83">
        <v>0.35599999999999998</v>
      </c>
      <c r="G83">
        <v>8.2000000000000007E-3</v>
      </c>
      <c r="I83" t="s">
        <v>369</v>
      </c>
      <c r="J83">
        <v>7</v>
      </c>
      <c r="K83">
        <v>1.33</v>
      </c>
      <c r="L83">
        <v>3</v>
      </c>
      <c r="M83">
        <v>0.127</v>
      </c>
      <c r="N83">
        <v>1</v>
      </c>
      <c r="O83">
        <v>1</v>
      </c>
    </row>
    <row r="84" spans="1:15" x14ac:dyDescent="0.25">
      <c r="A84" s="16" t="s">
        <v>8</v>
      </c>
      <c r="B84">
        <v>49</v>
      </c>
      <c r="C84">
        <v>0.26100000000000001</v>
      </c>
      <c r="D84">
        <v>4</v>
      </c>
      <c r="E84">
        <v>1.1400000000000001E-4</v>
      </c>
      <c r="F84">
        <v>0.38600000000000001</v>
      </c>
      <c r="G84">
        <v>8.6999999999999994E-3</v>
      </c>
      <c r="I84" t="s">
        <v>374</v>
      </c>
      <c r="J84">
        <v>4</v>
      </c>
      <c r="K84">
        <v>0.75700000000000001</v>
      </c>
      <c r="L84">
        <v>2</v>
      </c>
      <c r="M84">
        <v>0.16300000000000001</v>
      </c>
      <c r="N84">
        <v>1</v>
      </c>
      <c r="O8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9BB1-CE87-4753-B83F-AAF79EA49A00}">
  <dimension ref="A2:Q149"/>
  <sheetViews>
    <sheetView workbookViewId="0">
      <selection activeCell="A101" sqref="A101"/>
    </sheetView>
  </sheetViews>
  <sheetFormatPr defaultRowHeight="15" x14ac:dyDescent="0.25"/>
  <cols>
    <col min="1" max="1" width="37.28515625" style="33" bestFit="1" customWidth="1"/>
    <col min="2" max="2" width="5.42578125" style="41" bestFit="1" customWidth="1"/>
    <col min="3" max="3" width="8.7109375" style="41" bestFit="1" customWidth="1"/>
    <col min="4" max="4" width="4.28515625" style="41" bestFit="1" customWidth="1"/>
    <col min="5" max="5" width="8.28515625" style="41" bestFit="1" customWidth="1"/>
    <col min="6" max="6" width="7.28515625" style="41" bestFit="1" customWidth="1"/>
    <col min="7" max="7" width="6.5703125" style="41" bestFit="1" customWidth="1"/>
    <col min="10" max="10" width="25.42578125" customWidth="1"/>
    <col min="11" max="11" width="5.42578125" style="60" customWidth="1"/>
    <col min="12" max="12" width="4.5703125" style="60" bestFit="1" customWidth="1"/>
    <col min="13" max="13" width="4.42578125" style="60" bestFit="1" customWidth="1"/>
    <col min="14" max="14" width="7.5703125" style="60" bestFit="1" customWidth="1"/>
    <col min="15" max="15" width="9" style="60" bestFit="1" customWidth="1"/>
    <col min="16" max="16" width="5.5703125" style="60" bestFit="1" customWidth="1"/>
    <col min="17" max="17" width="7.140625" style="60" bestFit="1" customWidth="1"/>
  </cols>
  <sheetData>
    <row r="2" spans="1:7" x14ac:dyDescent="0.25">
      <c r="A2" s="61" t="s">
        <v>135</v>
      </c>
      <c r="B2" s="46" t="s">
        <v>129</v>
      </c>
      <c r="C2" s="47" t="s">
        <v>380</v>
      </c>
      <c r="D2" s="47" t="s">
        <v>2</v>
      </c>
      <c r="E2" s="47" t="s">
        <v>3</v>
      </c>
      <c r="F2" s="47" t="s">
        <v>4</v>
      </c>
      <c r="G2" s="47" t="s">
        <v>5</v>
      </c>
    </row>
    <row r="3" spans="1:7" x14ac:dyDescent="0.25">
      <c r="A3" s="38" t="s">
        <v>6</v>
      </c>
      <c r="B3" s="41">
        <v>29</v>
      </c>
      <c r="C3" s="52">
        <v>0.72399999999999998</v>
      </c>
      <c r="D3" s="41">
        <v>5</v>
      </c>
      <c r="E3" s="42">
        <v>5.04E-4</v>
      </c>
      <c r="F3" s="53">
        <v>4.9399999999999999E-2</v>
      </c>
      <c r="G3" s="53">
        <v>4.9399999999999999E-2</v>
      </c>
    </row>
    <row r="4" spans="1:7" x14ac:dyDescent="0.25">
      <c r="A4" s="32" t="s">
        <v>7</v>
      </c>
      <c r="B4" s="41">
        <v>20</v>
      </c>
      <c r="C4" s="52">
        <v>0.499</v>
      </c>
      <c r="D4" s="41">
        <v>4</v>
      </c>
      <c r="E4" s="42">
        <v>1.1199999999999999E-3</v>
      </c>
      <c r="F4" s="53">
        <v>0.109</v>
      </c>
      <c r="G4" s="53">
        <v>5.4800000000000001E-2</v>
      </c>
    </row>
    <row r="5" spans="1:7" x14ac:dyDescent="0.25">
      <c r="A5" s="62" t="s">
        <v>8</v>
      </c>
      <c r="B5" s="41">
        <v>57</v>
      </c>
      <c r="C5" s="52">
        <v>1.42</v>
      </c>
      <c r="D5" s="41">
        <v>6</v>
      </c>
      <c r="E5" s="42">
        <v>1.98E-3</v>
      </c>
      <c r="F5" s="53">
        <v>0.19</v>
      </c>
      <c r="G5" s="53">
        <v>6.4699999999999994E-2</v>
      </c>
    </row>
    <row r="6" spans="1:7" x14ac:dyDescent="0.25">
      <c r="A6" s="34" t="s">
        <v>9</v>
      </c>
      <c r="B6" s="41">
        <v>29</v>
      </c>
      <c r="C6" s="52">
        <v>0.72399999999999998</v>
      </c>
      <c r="D6" s="41">
        <v>4</v>
      </c>
      <c r="E6" s="42">
        <v>4.7099999999999998E-3</v>
      </c>
      <c r="F6" s="53">
        <v>0.44700000000000001</v>
      </c>
      <c r="G6" s="53">
        <v>9.8400000000000001E-2</v>
      </c>
    </row>
    <row r="7" spans="1:7" x14ac:dyDescent="0.25">
      <c r="A7" s="33" t="s">
        <v>10</v>
      </c>
      <c r="B7" s="41">
        <v>31</v>
      </c>
      <c r="C7" s="52">
        <v>0.77300000000000002</v>
      </c>
      <c r="D7" s="41">
        <v>4</v>
      </c>
      <c r="E7" s="42">
        <v>6.0299999999999998E-3</v>
      </c>
      <c r="F7" s="53">
        <v>0.56599999999999995</v>
      </c>
      <c r="G7" s="53">
        <v>9.8400000000000001E-2</v>
      </c>
    </row>
    <row r="8" spans="1:7" ht="15" customHeight="1" x14ac:dyDescent="0.25">
      <c r="A8" s="33" t="s">
        <v>11</v>
      </c>
      <c r="B8" s="41">
        <v>31</v>
      </c>
      <c r="C8" s="52">
        <v>0.77300000000000002</v>
      </c>
      <c r="D8" s="41">
        <v>4</v>
      </c>
      <c r="E8" s="42">
        <v>6.0299999999999998E-3</v>
      </c>
      <c r="F8" s="53">
        <v>0.56599999999999995</v>
      </c>
      <c r="G8" s="53">
        <v>9.8400000000000001E-2</v>
      </c>
    </row>
    <row r="9" spans="1:7" x14ac:dyDescent="0.25">
      <c r="A9" s="33" t="s">
        <v>12</v>
      </c>
      <c r="B9" s="41">
        <v>33</v>
      </c>
      <c r="C9" s="52">
        <v>0.82299999999999995</v>
      </c>
      <c r="D9" s="41">
        <v>4</v>
      </c>
      <c r="E9" s="42">
        <v>7.5700000000000003E-3</v>
      </c>
      <c r="F9" s="53">
        <v>0.69699999999999995</v>
      </c>
      <c r="G9" s="53">
        <v>0.106</v>
      </c>
    </row>
    <row r="10" spans="1:7" x14ac:dyDescent="0.25">
      <c r="A10" s="33" t="s">
        <v>13</v>
      </c>
      <c r="B10" s="41">
        <v>38</v>
      </c>
      <c r="C10" s="52">
        <v>0.94799999999999995</v>
      </c>
      <c r="D10" s="41">
        <v>4</v>
      </c>
      <c r="E10" s="42">
        <v>1.2500000000000001E-2</v>
      </c>
      <c r="F10" s="41">
        <v>1</v>
      </c>
      <c r="G10" s="53">
        <v>0.154</v>
      </c>
    </row>
    <row r="11" spans="1:7" x14ac:dyDescent="0.25">
      <c r="A11" s="33" t="s">
        <v>14</v>
      </c>
      <c r="B11" s="41">
        <v>23</v>
      </c>
      <c r="C11" s="52">
        <v>0.57399999999999995</v>
      </c>
      <c r="D11" s="41">
        <v>3</v>
      </c>
      <c r="E11" s="42">
        <v>1.7500000000000002E-2</v>
      </c>
      <c r="F11" s="41">
        <v>1</v>
      </c>
      <c r="G11" s="53">
        <v>0.189</v>
      </c>
    </row>
    <row r="12" spans="1:7" x14ac:dyDescent="0.25">
      <c r="A12" s="33" t="s">
        <v>15</v>
      </c>
      <c r="B12" s="41">
        <v>9</v>
      </c>
      <c r="C12" s="52">
        <v>0.22500000000000001</v>
      </c>
      <c r="D12" s="41">
        <v>2</v>
      </c>
      <c r="E12" s="42">
        <v>1.9300000000000001E-2</v>
      </c>
      <c r="F12" s="41">
        <v>1</v>
      </c>
      <c r="G12" s="53">
        <v>0.189</v>
      </c>
    </row>
    <row r="13" spans="1:7" x14ac:dyDescent="0.25">
      <c r="A13" s="34" t="s">
        <v>16</v>
      </c>
      <c r="B13" s="41">
        <v>11</v>
      </c>
      <c r="C13" s="52">
        <v>0.27400000000000002</v>
      </c>
      <c r="D13" s="41">
        <v>2</v>
      </c>
      <c r="E13" s="42">
        <v>2.86E-2</v>
      </c>
      <c r="F13" s="41">
        <v>1</v>
      </c>
      <c r="G13" s="53">
        <v>0.23400000000000001</v>
      </c>
    </row>
    <row r="14" spans="1:7" x14ac:dyDescent="0.25">
      <c r="A14" s="33" t="s">
        <v>17</v>
      </c>
      <c r="B14" s="41">
        <v>11</v>
      </c>
      <c r="C14" s="52">
        <v>0.27400000000000002</v>
      </c>
      <c r="D14" s="41">
        <v>2</v>
      </c>
      <c r="E14" s="42">
        <v>2.86E-2</v>
      </c>
      <c r="F14" s="41">
        <v>1</v>
      </c>
      <c r="G14" s="53">
        <v>0.23400000000000001</v>
      </c>
    </row>
    <row r="15" spans="1:7" x14ac:dyDescent="0.25">
      <c r="A15" s="33" t="s">
        <v>18</v>
      </c>
      <c r="B15" s="41">
        <v>12</v>
      </c>
      <c r="C15" s="52">
        <v>0.29899999999999999</v>
      </c>
      <c r="D15" s="41">
        <v>2</v>
      </c>
      <c r="E15" s="42">
        <v>3.39E-2</v>
      </c>
      <c r="F15" s="41">
        <v>1</v>
      </c>
      <c r="G15" s="53">
        <v>0.255</v>
      </c>
    </row>
    <row r="16" spans="1:7" x14ac:dyDescent="0.25">
      <c r="A16" s="33" t="s">
        <v>19</v>
      </c>
      <c r="B16" s="41">
        <v>32</v>
      </c>
      <c r="C16" s="52">
        <v>0.79800000000000004</v>
      </c>
      <c r="D16" s="41">
        <v>3</v>
      </c>
      <c r="E16" s="42">
        <v>4.2200000000000001E-2</v>
      </c>
      <c r="F16" s="41">
        <v>1</v>
      </c>
      <c r="G16" s="53">
        <v>0.28000000000000003</v>
      </c>
    </row>
    <row r="17" spans="1:7" x14ac:dyDescent="0.25">
      <c r="A17" s="33" t="s">
        <v>20</v>
      </c>
      <c r="B17" s="41">
        <v>14</v>
      </c>
      <c r="C17" s="52">
        <v>0.34899999999999998</v>
      </c>
      <c r="D17" s="41">
        <v>2</v>
      </c>
      <c r="E17" s="42">
        <v>4.53E-2</v>
      </c>
      <c r="F17" s="41">
        <v>1</v>
      </c>
      <c r="G17" s="53">
        <v>0.28000000000000003</v>
      </c>
    </row>
    <row r="18" spans="1:7" x14ac:dyDescent="0.25">
      <c r="A18" s="63" t="s">
        <v>21</v>
      </c>
      <c r="B18" s="43">
        <v>33</v>
      </c>
      <c r="C18" s="45">
        <v>0.82299999999999995</v>
      </c>
      <c r="D18" s="43">
        <v>3</v>
      </c>
      <c r="E18" s="44">
        <v>4.5699999999999998E-2</v>
      </c>
      <c r="F18" s="43">
        <v>1</v>
      </c>
      <c r="G18" s="54">
        <v>0.28000000000000003</v>
      </c>
    </row>
    <row r="19" spans="1:7" x14ac:dyDescent="0.25">
      <c r="A19" s="64" t="s">
        <v>22</v>
      </c>
      <c r="B19" s="46" t="s">
        <v>129</v>
      </c>
      <c r="C19" s="47" t="s">
        <v>380</v>
      </c>
      <c r="D19" s="43" t="s">
        <v>2</v>
      </c>
      <c r="E19" s="44" t="s">
        <v>3</v>
      </c>
      <c r="F19" s="43" t="s">
        <v>4</v>
      </c>
      <c r="G19" s="43" t="s">
        <v>5</v>
      </c>
    </row>
    <row r="20" spans="1:7" x14ac:dyDescent="0.25">
      <c r="A20" s="32" t="s">
        <v>7</v>
      </c>
      <c r="B20" s="41">
        <v>8</v>
      </c>
      <c r="C20" s="52">
        <v>1.51</v>
      </c>
      <c r="D20" s="41">
        <v>4</v>
      </c>
      <c r="E20" s="42">
        <v>4.36E-2</v>
      </c>
      <c r="F20" s="41">
        <v>1</v>
      </c>
      <c r="G20" s="41">
        <v>1</v>
      </c>
    </row>
    <row r="21" spans="1:7" x14ac:dyDescent="0.25">
      <c r="A21" s="34" t="s">
        <v>9</v>
      </c>
      <c r="B21" s="41">
        <v>8</v>
      </c>
      <c r="C21" s="52">
        <v>1.51</v>
      </c>
      <c r="D21" s="41">
        <v>4</v>
      </c>
      <c r="E21" s="42">
        <v>4.36E-2</v>
      </c>
      <c r="F21" s="41">
        <v>1</v>
      </c>
      <c r="G21" s="41">
        <v>1</v>
      </c>
    </row>
    <row r="22" spans="1:7" x14ac:dyDescent="0.25">
      <c r="A22" s="35" t="s">
        <v>6</v>
      </c>
      <c r="B22" s="41">
        <v>9</v>
      </c>
      <c r="C22" s="52">
        <v>1.7</v>
      </c>
      <c r="D22" s="41">
        <v>4</v>
      </c>
      <c r="E22" s="42">
        <v>6.7799999999999999E-2</v>
      </c>
      <c r="F22" s="41">
        <v>1</v>
      </c>
      <c r="G22" s="41">
        <v>1</v>
      </c>
    </row>
    <row r="23" spans="1:7" x14ac:dyDescent="0.25">
      <c r="A23" s="33" t="s">
        <v>13</v>
      </c>
      <c r="B23" s="41">
        <v>11</v>
      </c>
      <c r="C23" s="52">
        <v>2.08</v>
      </c>
      <c r="D23" s="41">
        <v>4</v>
      </c>
      <c r="E23" s="42">
        <v>0.13300000000000001</v>
      </c>
      <c r="F23" s="41">
        <v>1</v>
      </c>
      <c r="G23" s="41">
        <v>1</v>
      </c>
    </row>
    <row r="24" spans="1:7" x14ac:dyDescent="0.25">
      <c r="A24" s="33" t="s">
        <v>10</v>
      </c>
      <c r="B24" s="41">
        <v>11</v>
      </c>
      <c r="C24" s="52">
        <v>2.08</v>
      </c>
      <c r="D24" s="41">
        <v>4</v>
      </c>
      <c r="E24" s="42">
        <v>0.13300000000000001</v>
      </c>
      <c r="F24" s="41">
        <v>1</v>
      </c>
      <c r="G24" s="41">
        <v>1</v>
      </c>
    </row>
    <row r="25" spans="1:7" x14ac:dyDescent="0.25">
      <c r="A25" s="33" t="s">
        <v>23</v>
      </c>
      <c r="B25" s="41">
        <v>4</v>
      </c>
      <c r="C25" s="52">
        <v>0.75700000000000001</v>
      </c>
      <c r="D25" s="41">
        <v>2</v>
      </c>
      <c r="E25" s="42">
        <v>0.16300000000000001</v>
      </c>
      <c r="F25" s="41">
        <v>1</v>
      </c>
      <c r="G25" s="41">
        <v>1</v>
      </c>
    </row>
    <row r="26" spans="1:7" x14ac:dyDescent="0.25">
      <c r="A26" s="33" t="s">
        <v>24</v>
      </c>
      <c r="B26" s="41">
        <v>4</v>
      </c>
      <c r="C26" s="52">
        <v>0.75700000000000001</v>
      </c>
      <c r="D26" s="41">
        <v>2</v>
      </c>
      <c r="E26" s="42">
        <v>0.16300000000000001</v>
      </c>
      <c r="F26" s="41">
        <v>1</v>
      </c>
      <c r="G26" s="41">
        <v>1</v>
      </c>
    </row>
    <row r="27" spans="1:7" x14ac:dyDescent="0.25">
      <c r="A27" s="33" t="s">
        <v>25</v>
      </c>
      <c r="B27" s="41">
        <v>5</v>
      </c>
      <c r="C27" s="52">
        <v>0.94699999999999995</v>
      </c>
      <c r="D27" s="41">
        <v>2</v>
      </c>
      <c r="E27" s="42">
        <v>0.24</v>
      </c>
      <c r="F27" s="41">
        <v>1</v>
      </c>
      <c r="G27" s="41">
        <v>1</v>
      </c>
    </row>
    <row r="28" spans="1:7" ht="13.5" customHeight="1" x14ac:dyDescent="0.25">
      <c r="A28" s="33" t="s">
        <v>26</v>
      </c>
      <c r="B28" s="41">
        <v>5</v>
      </c>
      <c r="C28" s="52">
        <v>0.94699999999999995</v>
      </c>
      <c r="D28" s="41">
        <v>2</v>
      </c>
      <c r="E28" s="42">
        <v>0.24</v>
      </c>
      <c r="F28" s="41">
        <v>1</v>
      </c>
      <c r="G28" s="41">
        <v>1</v>
      </c>
    </row>
    <row r="29" spans="1:7" x14ac:dyDescent="0.25">
      <c r="A29" s="33" t="s">
        <v>16</v>
      </c>
      <c r="B29" s="41">
        <v>5</v>
      </c>
      <c r="C29" s="52">
        <v>0.94699999999999995</v>
      </c>
      <c r="D29" s="41">
        <v>2</v>
      </c>
      <c r="E29" s="42">
        <v>0.24</v>
      </c>
      <c r="F29" s="41">
        <v>1</v>
      </c>
      <c r="G29" s="41">
        <v>1</v>
      </c>
    </row>
    <row r="30" spans="1:7" x14ac:dyDescent="0.25">
      <c r="A30" s="33" t="s">
        <v>15</v>
      </c>
      <c r="B30" s="41">
        <v>5</v>
      </c>
      <c r="C30" s="52">
        <v>0.94699999999999995</v>
      </c>
      <c r="D30" s="41">
        <v>2</v>
      </c>
      <c r="E30" s="42">
        <v>0.24</v>
      </c>
      <c r="F30" s="41">
        <v>1</v>
      </c>
      <c r="G30" s="41">
        <v>1</v>
      </c>
    </row>
    <row r="31" spans="1:7" x14ac:dyDescent="0.25">
      <c r="A31" s="33" t="s">
        <v>27</v>
      </c>
      <c r="B31" s="41">
        <v>5</v>
      </c>
      <c r="C31" s="52">
        <v>0.94699999999999995</v>
      </c>
      <c r="D31" s="41">
        <v>2</v>
      </c>
      <c r="E31" s="42">
        <v>0.24</v>
      </c>
      <c r="F31" s="41">
        <v>1</v>
      </c>
      <c r="G31" s="41">
        <v>1</v>
      </c>
    </row>
    <row r="32" spans="1:7" x14ac:dyDescent="0.25">
      <c r="A32" s="33" t="s">
        <v>11</v>
      </c>
      <c r="B32" s="41">
        <v>10</v>
      </c>
      <c r="C32" s="52">
        <v>1.89</v>
      </c>
      <c r="D32" s="41">
        <v>3</v>
      </c>
      <c r="E32" s="42">
        <v>0.28799999999999998</v>
      </c>
      <c r="F32" s="41">
        <v>1</v>
      </c>
      <c r="G32" s="41">
        <v>1</v>
      </c>
    </row>
    <row r="33" spans="1:7" x14ac:dyDescent="0.25">
      <c r="A33" s="33" t="s">
        <v>28</v>
      </c>
      <c r="B33" s="41">
        <v>6</v>
      </c>
      <c r="C33" s="52">
        <v>1.1399999999999999</v>
      </c>
      <c r="D33" s="41">
        <v>2</v>
      </c>
      <c r="E33" s="42">
        <v>0.318</v>
      </c>
      <c r="F33" s="41">
        <v>1</v>
      </c>
      <c r="G33" s="41">
        <v>1</v>
      </c>
    </row>
    <row r="34" spans="1:7" x14ac:dyDescent="0.25">
      <c r="A34" s="33" t="s">
        <v>20</v>
      </c>
      <c r="B34" s="41">
        <v>6</v>
      </c>
      <c r="C34" s="52">
        <v>1.1399999999999999</v>
      </c>
      <c r="D34" s="41">
        <v>2</v>
      </c>
      <c r="E34" s="42">
        <v>0.318</v>
      </c>
      <c r="F34" s="41">
        <v>1</v>
      </c>
      <c r="G34" s="41">
        <v>1</v>
      </c>
    </row>
    <row r="35" spans="1:7" x14ac:dyDescent="0.25">
      <c r="A35" s="36" t="s">
        <v>17</v>
      </c>
      <c r="B35" s="43">
        <v>6</v>
      </c>
      <c r="C35" s="45">
        <v>1.1399999999999999</v>
      </c>
      <c r="D35" s="43">
        <v>2</v>
      </c>
      <c r="E35" s="44">
        <v>0.318</v>
      </c>
      <c r="F35" s="43">
        <v>1</v>
      </c>
      <c r="G35" s="43">
        <v>1</v>
      </c>
    </row>
    <row r="36" spans="1:7" x14ac:dyDescent="0.25">
      <c r="A36" s="64" t="s">
        <v>136</v>
      </c>
      <c r="B36" s="46" t="s">
        <v>129</v>
      </c>
      <c r="C36" s="47" t="s">
        <v>380</v>
      </c>
      <c r="D36" s="43" t="s">
        <v>2</v>
      </c>
      <c r="E36" s="44" t="s">
        <v>3</v>
      </c>
      <c r="F36" s="43" t="s">
        <v>4</v>
      </c>
      <c r="G36" s="43" t="s">
        <v>5</v>
      </c>
    </row>
    <row r="37" spans="1:7" x14ac:dyDescent="0.25">
      <c r="A37" s="34" t="s">
        <v>31</v>
      </c>
      <c r="B37" s="41">
        <v>36</v>
      </c>
      <c r="C37" s="52">
        <v>0.52100000000000002</v>
      </c>
      <c r="D37" s="41">
        <v>5</v>
      </c>
      <c r="E37" s="42">
        <v>1.11E-4</v>
      </c>
      <c r="F37" s="53">
        <v>8.9599999999999992E-3</v>
      </c>
      <c r="G37" s="53">
        <v>8.26E-3</v>
      </c>
    </row>
    <row r="38" spans="1:7" x14ac:dyDescent="0.25">
      <c r="A38" s="38" t="s">
        <v>32</v>
      </c>
      <c r="B38" s="41">
        <v>22</v>
      </c>
      <c r="C38" s="52">
        <v>0.31900000000000001</v>
      </c>
      <c r="D38" s="41">
        <v>4</v>
      </c>
      <c r="E38" s="42">
        <v>2.04E-4</v>
      </c>
      <c r="F38" s="53">
        <v>1.6299999999999999E-2</v>
      </c>
      <c r="G38" s="53">
        <v>8.26E-3</v>
      </c>
    </row>
    <row r="39" spans="1:7" ht="30" x14ac:dyDescent="0.25">
      <c r="A39" s="32" t="s">
        <v>33</v>
      </c>
      <c r="B39" s="41">
        <v>31</v>
      </c>
      <c r="C39" s="52">
        <v>0.44900000000000001</v>
      </c>
      <c r="D39" s="41">
        <v>4</v>
      </c>
      <c r="E39" s="42">
        <v>8.0500000000000005E-4</v>
      </c>
      <c r="F39" s="53">
        <v>6.3600000000000004E-2</v>
      </c>
      <c r="G39" s="53">
        <v>2.1700000000000001E-2</v>
      </c>
    </row>
    <row r="40" spans="1:7" ht="30" x14ac:dyDescent="0.25">
      <c r="A40" s="32" t="s">
        <v>34</v>
      </c>
      <c r="B40" s="41">
        <v>24</v>
      </c>
      <c r="C40" s="52">
        <v>0.34799999999999998</v>
      </c>
      <c r="D40" s="41">
        <v>3</v>
      </c>
      <c r="E40" s="42">
        <v>4.3899999999999998E-3</v>
      </c>
      <c r="F40" s="41">
        <v>0.34200000000000003</v>
      </c>
      <c r="G40" s="53">
        <v>8.8800000000000004E-2</v>
      </c>
    </row>
    <row r="41" spans="1:7" ht="30" x14ac:dyDescent="0.25">
      <c r="A41" s="33" t="s">
        <v>35</v>
      </c>
      <c r="B41" s="41">
        <v>2</v>
      </c>
      <c r="C41" s="52">
        <v>2.9000000000000001E-2</v>
      </c>
      <c r="D41" s="41">
        <v>1</v>
      </c>
      <c r="E41" s="42">
        <v>2.8799999999999999E-2</v>
      </c>
      <c r="F41" s="41">
        <v>1</v>
      </c>
      <c r="G41" s="53">
        <v>0.46600000000000003</v>
      </c>
    </row>
    <row r="42" spans="1:7" x14ac:dyDescent="0.25">
      <c r="A42" s="33" t="s">
        <v>36</v>
      </c>
      <c r="B42" s="41">
        <v>21</v>
      </c>
      <c r="C42" s="52">
        <v>0.30399999999999999</v>
      </c>
      <c r="D42" s="41">
        <v>2</v>
      </c>
      <c r="E42" s="42">
        <v>3.56E-2</v>
      </c>
      <c r="F42" s="41">
        <v>1</v>
      </c>
      <c r="G42" s="53">
        <v>0.48099999999999998</v>
      </c>
    </row>
    <row r="43" spans="1:7" x14ac:dyDescent="0.25">
      <c r="A43" s="33" t="s">
        <v>37</v>
      </c>
      <c r="B43" s="41">
        <v>24</v>
      </c>
      <c r="C43" s="52">
        <v>0.34799999999999998</v>
      </c>
      <c r="D43" s="41">
        <v>2</v>
      </c>
      <c r="E43" s="42">
        <v>4.5600000000000002E-2</v>
      </c>
      <c r="F43" s="41">
        <v>1</v>
      </c>
      <c r="G43" s="53">
        <v>0.52800000000000002</v>
      </c>
    </row>
    <row r="44" spans="1:7" x14ac:dyDescent="0.25">
      <c r="A44" s="33" t="s">
        <v>38</v>
      </c>
      <c r="B44" s="41">
        <v>70</v>
      </c>
      <c r="C44" s="52">
        <v>1.01</v>
      </c>
      <c r="D44" s="41">
        <v>3</v>
      </c>
      <c r="E44" s="42">
        <v>7.7100000000000002E-2</v>
      </c>
      <c r="F44" s="41">
        <v>1</v>
      </c>
      <c r="G44" s="53">
        <v>0.78</v>
      </c>
    </row>
    <row r="45" spans="1:7" x14ac:dyDescent="0.25">
      <c r="A45" s="33" t="s">
        <v>39</v>
      </c>
      <c r="B45" s="41">
        <v>35</v>
      </c>
      <c r="C45" s="52">
        <v>0.50700000000000001</v>
      </c>
      <c r="D45" s="41">
        <v>2</v>
      </c>
      <c r="E45" s="42">
        <v>8.9399999999999993E-2</v>
      </c>
      <c r="F45" s="41">
        <v>1</v>
      </c>
      <c r="G45" s="53">
        <v>0.80400000000000005</v>
      </c>
    </row>
    <row r="46" spans="1:7" x14ac:dyDescent="0.25">
      <c r="A46" s="36" t="s">
        <v>40</v>
      </c>
      <c r="B46" s="43">
        <v>39</v>
      </c>
      <c r="C46" s="45">
        <v>0.56499999999999995</v>
      </c>
      <c r="D46" s="43">
        <v>2</v>
      </c>
      <c r="E46" s="44">
        <v>0.108</v>
      </c>
      <c r="F46" s="43">
        <v>1</v>
      </c>
      <c r="G46" s="54">
        <v>0.871</v>
      </c>
    </row>
    <row r="47" spans="1:7" x14ac:dyDescent="0.25">
      <c r="A47" s="64" t="s">
        <v>30</v>
      </c>
      <c r="B47" s="46" t="s">
        <v>129</v>
      </c>
      <c r="C47" s="47" t="s">
        <v>380</v>
      </c>
      <c r="D47" s="43" t="s">
        <v>2</v>
      </c>
      <c r="E47" s="44" t="s">
        <v>3</v>
      </c>
      <c r="F47" s="43" t="s">
        <v>4</v>
      </c>
      <c r="G47" s="43" t="s">
        <v>5</v>
      </c>
    </row>
    <row r="48" spans="1:7" x14ac:dyDescent="0.25">
      <c r="A48" s="34" t="s">
        <v>31</v>
      </c>
      <c r="B48" s="41">
        <v>6</v>
      </c>
      <c r="C48" s="52">
        <v>1.1399999999999999</v>
      </c>
      <c r="D48" s="41">
        <v>5</v>
      </c>
      <c r="E48" s="42">
        <v>1.01E-3</v>
      </c>
      <c r="F48" s="41">
        <v>8.1699999999999995E-2</v>
      </c>
      <c r="G48" s="53">
        <v>8.1699999999999995E-2</v>
      </c>
    </row>
    <row r="49" spans="1:7" x14ac:dyDescent="0.25">
      <c r="A49" s="38" t="s">
        <v>32</v>
      </c>
      <c r="B49" s="41">
        <v>4</v>
      </c>
      <c r="C49" s="52">
        <v>0.75700000000000001</v>
      </c>
      <c r="D49" s="41">
        <v>3</v>
      </c>
      <c r="E49" s="42">
        <v>2.2100000000000002E-2</v>
      </c>
      <c r="F49" s="41">
        <v>1</v>
      </c>
      <c r="G49" s="53">
        <v>0.68300000000000005</v>
      </c>
    </row>
    <row r="50" spans="1:7" ht="30" x14ac:dyDescent="0.25">
      <c r="A50" s="32" t="s">
        <v>33</v>
      </c>
      <c r="B50" s="41">
        <v>7</v>
      </c>
      <c r="C50" s="52">
        <v>1.33</v>
      </c>
      <c r="D50" s="41">
        <v>4</v>
      </c>
      <c r="E50" s="42">
        <v>2.53E-2</v>
      </c>
      <c r="F50" s="41">
        <v>1</v>
      </c>
      <c r="G50" s="53">
        <v>0.68300000000000005</v>
      </c>
    </row>
    <row r="51" spans="1:7" ht="30" x14ac:dyDescent="0.25">
      <c r="A51" s="32" t="s">
        <v>34</v>
      </c>
      <c r="B51" s="41">
        <v>5</v>
      </c>
      <c r="C51" s="52">
        <v>0.94699999999999995</v>
      </c>
      <c r="D51" s="41">
        <v>3</v>
      </c>
      <c r="E51" s="42">
        <v>4.7899999999999998E-2</v>
      </c>
      <c r="F51" s="41">
        <v>1</v>
      </c>
      <c r="G51" s="53">
        <v>0.97</v>
      </c>
    </row>
    <row r="52" spans="1:7" x14ac:dyDescent="0.25">
      <c r="A52" s="33" t="s">
        <v>41</v>
      </c>
      <c r="B52" s="41">
        <v>1</v>
      </c>
      <c r="C52" s="52">
        <v>0.189</v>
      </c>
      <c r="D52" s="41">
        <v>1</v>
      </c>
      <c r="E52" s="42">
        <v>0.189</v>
      </c>
      <c r="F52" s="41">
        <v>1</v>
      </c>
      <c r="G52" s="41">
        <v>1</v>
      </c>
    </row>
    <row r="53" spans="1:7" ht="30" x14ac:dyDescent="0.25">
      <c r="A53" s="33" t="s">
        <v>35</v>
      </c>
      <c r="B53" s="41">
        <v>1</v>
      </c>
      <c r="C53" s="52">
        <v>0.189</v>
      </c>
      <c r="D53" s="41">
        <v>1</v>
      </c>
      <c r="E53" s="42">
        <v>0.189</v>
      </c>
      <c r="F53" s="41">
        <v>1</v>
      </c>
      <c r="G53" s="41">
        <v>1</v>
      </c>
    </row>
    <row r="54" spans="1:7" x14ac:dyDescent="0.25">
      <c r="A54" s="33" t="s">
        <v>42</v>
      </c>
      <c r="B54" s="41">
        <v>1</v>
      </c>
      <c r="C54" s="52">
        <v>0.189</v>
      </c>
      <c r="D54" s="41">
        <v>1</v>
      </c>
      <c r="E54" s="42">
        <v>0.189</v>
      </c>
      <c r="F54" s="41">
        <v>1</v>
      </c>
      <c r="G54" s="41">
        <v>1</v>
      </c>
    </row>
    <row r="55" spans="1:7" x14ac:dyDescent="0.25">
      <c r="A55" s="33" t="s">
        <v>43</v>
      </c>
      <c r="B55" s="41">
        <v>1</v>
      </c>
      <c r="C55" s="52">
        <v>0.189</v>
      </c>
      <c r="D55" s="41">
        <v>1</v>
      </c>
      <c r="E55" s="42">
        <v>0.189</v>
      </c>
      <c r="F55" s="41">
        <v>1</v>
      </c>
      <c r="G55" s="41">
        <v>1</v>
      </c>
    </row>
    <row r="56" spans="1:7" ht="30" x14ac:dyDescent="0.25">
      <c r="A56" s="33" t="s">
        <v>44</v>
      </c>
      <c r="B56" s="41">
        <v>2</v>
      </c>
      <c r="C56" s="52">
        <v>0.379</v>
      </c>
      <c r="D56" s="41">
        <v>1</v>
      </c>
      <c r="E56" s="42">
        <v>0.34399999999999997</v>
      </c>
      <c r="F56" s="41">
        <v>1</v>
      </c>
      <c r="G56" s="41">
        <v>1</v>
      </c>
    </row>
    <row r="57" spans="1:7" x14ac:dyDescent="0.25">
      <c r="A57" s="36" t="s">
        <v>45</v>
      </c>
      <c r="B57" s="43">
        <v>2</v>
      </c>
      <c r="C57" s="45">
        <v>0.379</v>
      </c>
      <c r="D57" s="43">
        <v>1</v>
      </c>
      <c r="E57" s="44">
        <v>0.34399999999999997</v>
      </c>
      <c r="F57" s="43">
        <v>1</v>
      </c>
      <c r="G57" s="43">
        <v>1</v>
      </c>
    </row>
    <row r="58" spans="1:7" x14ac:dyDescent="0.25">
      <c r="A58" s="64" t="s">
        <v>137</v>
      </c>
      <c r="B58" s="46" t="s">
        <v>129</v>
      </c>
      <c r="C58" s="47" t="s">
        <v>380</v>
      </c>
      <c r="D58" s="43" t="s">
        <v>2</v>
      </c>
      <c r="E58" s="44" t="s">
        <v>3</v>
      </c>
      <c r="F58" s="43" t="s">
        <v>4</v>
      </c>
      <c r="G58" s="43" t="s">
        <v>5</v>
      </c>
    </row>
    <row r="59" spans="1:7" ht="30" x14ac:dyDescent="0.25">
      <c r="A59" s="33" t="s">
        <v>49</v>
      </c>
      <c r="B59" s="41">
        <v>25</v>
      </c>
      <c r="C59" s="52">
        <v>0.13300000000000001</v>
      </c>
      <c r="D59" s="41">
        <v>5</v>
      </c>
      <c r="E59" s="55" t="s">
        <v>50</v>
      </c>
      <c r="F59" s="42">
        <v>4.8500000000000003E-4</v>
      </c>
      <c r="G59" s="42">
        <v>1.6200000000000001E-4</v>
      </c>
    </row>
    <row r="60" spans="1:7" ht="30" x14ac:dyDescent="0.25">
      <c r="A60" s="33" t="s">
        <v>51</v>
      </c>
      <c r="B60" s="41">
        <v>25</v>
      </c>
      <c r="C60" s="52">
        <v>0.13300000000000001</v>
      </c>
      <c r="D60" s="41">
        <v>5</v>
      </c>
      <c r="E60" s="55" t="s">
        <v>50</v>
      </c>
      <c r="F60" s="42">
        <v>4.8500000000000003E-4</v>
      </c>
      <c r="G60" s="42">
        <v>1.6200000000000001E-4</v>
      </c>
    </row>
    <row r="61" spans="1:7" x14ac:dyDescent="0.25">
      <c r="A61" s="33" t="s">
        <v>52</v>
      </c>
      <c r="B61" s="41">
        <v>25</v>
      </c>
      <c r="C61" s="52">
        <v>0.13300000000000001</v>
      </c>
      <c r="D61" s="41">
        <v>5</v>
      </c>
      <c r="E61" s="55" t="s">
        <v>50</v>
      </c>
      <c r="F61" s="42">
        <v>4.8500000000000003E-4</v>
      </c>
      <c r="G61" s="42">
        <v>1.6200000000000001E-4</v>
      </c>
    </row>
    <row r="62" spans="1:7" x14ac:dyDescent="0.25">
      <c r="A62" s="65" t="s">
        <v>53</v>
      </c>
      <c r="B62" s="41">
        <v>14</v>
      </c>
      <c r="C62" s="52">
        <v>7.4700000000000003E-2</v>
      </c>
      <c r="D62" s="41">
        <v>4</v>
      </c>
      <c r="E62" s="55" t="s">
        <v>54</v>
      </c>
      <c r="F62" s="42">
        <v>2.0999999999999999E-3</v>
      </c>
      <c r="G62" s="42">
        <v>5.2499999999999997E-4</v>
      </c>
    </row>
    <row r="63" spans="1:7" x14ac:dyDescent="0.25">
      <c r="A63" s="33" t="s">
        <v>55</v>
      </c>
      <c r="B63" s="41">
        <v>157</v>
      </c>
      <c r="C63" s="52">
        <v>0.83699999999999997</v>
      </c>
      <c r="D63" s="41">
        <v>8</v>
      </c>
      <c r="E63" s="55" t="s">
        <v>56</v>
      </c>
      <c r="F63" s="42">
        <v>3.15E-3</v>
      </c>
      <c r="G63" s="42">
        <v>6.3100000000000005E-4</v>
      </c>
    </row>
    <row r="64" spans="1:7" x14ac:dyDescent="0.25">
      <c r="A64" s="32" t="s">
        <v>21</v>
      </c>
      <c r="B64" s="41">
        <v>39</v>
      </c>
      <c r="C64" s="52">
        <v>0.20799999999999999</v>
      </c>
      <c r="D64" s="41">
        <v>5</v>
      </c>
      <c r="E64" s="55" t="s">
        <v>57</v>
      </c>
      <c r="F64" s="42">
        <v>4.9899999999999996E-3</v>
      </c>
      <c r="G64" s="42">
        <v>8.3299999999999997E-4</v>
      </c>
    </row>
    <row r="65" spans="1:7" x14ac:dyDescent="0.25">
      <c r="A65" s="33" t="s">
        <v>58</v>
      </c>
      <c r="B65" s="41">
        <v>23</v>
      </c>
      <c r="C65" s="52">
        <v>0.123</v>
      </c>
      <c r="D65" s="41">
        <v>4</v>
      </c>
      <c r="E65" s="55" t="s">
        <v>59</v>
      </c>
      <c r="F65" s="42">
        <v>1.7899999999999999E-2</v>
      </c>
      <c r="G65" s="42">
        <v>1.5900000000000001E-3</v>
      </c>
    </row>
    <row r="66" spans="1:7" x14ac:dyDescent="0.25">
      <c r="A66" s="33" t="s">
        <v>60</v>
      </c>
      <c r="B66" s="41">
        <v>91</v>
      </c>
      <c r="C66" s="52">
        <v>0.48499999999999999</v>
      </c>
      <c r="D66" s="41">
        <v>6</v>
      </c>
      <c r="E66" s="55" t="s">
        <v>61</v>
      </c>
      <c r="F66" s="42">
        <v>2.0799999999999999E-2</v>
      </c>
      <c r="G66" s="42">
        <v>1.5900000000000001E-3</v>
      </c>
    </row>
    <row r="67" spans="1:7" x14ac:dyDescent="0.25">
      <c r="A67" s="33" t="s">
        <v>62</v>
      </c>
      <c r="B67" s="41">
        <v>24</v>
      </c>
      <c r="C67" s="52">
        <v>0.128</v>
      </c>
      <c r="D67" s="41">
        <v>4</v>
      </c>
      <c r="E67" s="55" t="s">
        <v>63</v>
      </c>
      <c r="F67" s="42">
        <v>2.1399999999999999E-2</v>
      </c>
      <c r="G67" s="42">
        <v>1.5900000000000001E-3</v>
      </c>
    </row>
    <row r="68" spans="1:7" x14ac:dyDescent="0.25">
      <c r="A68" s="33" t="s">
        <v>10</v>
      </c>
      <c r="B68" s="41">
        <v>25</v>
      </c>
      <c r="C68" s="52">
        <v>0.13300000000000001</v>
      </c>
      <c r="D68" s="41">
        <v>4</v>
      </c>
      <c r="E68" s="55" t="s">
        <v>64</v>
      </c>
      <c r="F68" s="42">
        <v>2.5399999999999999E-2</v>
      </c>
      <c r="G68" s="42">
        <v>1.5900000000000001E-3</v>
      </c>
    </row>
    <row r="69" spans="1:7" x14ac:dyDescent="0.25">
      <c r="A69" s="33" t="s">
        <v>65</v>
      </c>
      <c r="B69" s="41">
        <v>25</v>
      </c>
      <c r="C69" s="52">
        <v>0.13300000000000001</v>
      </c>
      <c r="D69" s="41">
        <v>4</v>
      </c>
      <c r="E69" s="55" t="s">
        <v>64</v>
      </c>
      <c r="F69" s="42">
        <v>2.5399999999999999E-2</v>
      </c>
      <c r="G69" s="42">
        <v>1.5900000000000001E-3</v>
      </c>
    </row>
    <row r="70" spans="1:7" ht="30" x14ac:dyDescent="0.25">
      <c r="A70" s="33" t="s">
        <v>66</v>
      </c>
      <c r="B70" s="41">
        <v>25</v>
      </c>
      <c r="C70" s="52">
        <v>0.13300000000000001</v>
      </c>
      <c r="D70" s="41">
        <v>4</v>
      </c>
      <c r="E70" s="55" t="s">
        <v>64</v>
      </c>
      <c r="F70" s="42">
        <v>2.5399999999999999E-2</v>
      </c>
      <c r="G70" s="42">
        <v>1.5900000000000001E-3</v>
      </c>
    </row>
    <row r="71" spans="1:7" ht="30" x14ac:dyDescent="0.25">
      <c r="A71" s="33" t="s">
        <v>67</v>
      </c>
      <c r="B71" s="41">
        <v>25</v>
      </c>
      <c r="C71" s="52">
        <v>0.13300000000000001</v>
      </c>
      <c r="D71" s="41">
        <v>4</v>
      </c>
      <c r="E71" s="55" t="s">
        <v>64</v>
      </c>
      <c r="F71" s="42">
        <v>2.5399999999999999E-2</v>
      </c>
      <c r="G71" s="42">
        <v>1.5900000000000001E-3</v>
      </c>
    </row>
    <row r="72" spans="1:7" x14ac:dyDescent="0.25">
      <c r="A72" s="33" t="s">
        <v>68</v>
      </c>
      <c r="B72" s="41">
        <v>25</v>
      </c>
      <c r="C72" s="52">
        <v>0.13300000000000001</v>
      </c>
      <c r="D72" s="41">
        <v>4</v>
      </c>
      <c r="E72" s="55" t="s">
        <v>64</v>
      </c>
      <c r="F72" s="42">
        <v>2.5399999999999999E-2</v>
      </c>
      <c r="G72" s="42">
        <v>1.5900000000000001E-3</v>
      </c>
    </row>
    <row r="73" spans="1:7" ht="30" x14ac:dyDescent="0.25">
      <c r="A73" s="33" t="s">
        <v>69</v>
      </c>
      <c r="B73" s="41">
        <v>25</v>
      </c>
      <c r="C73" s="52">
        <v>0.13300000000000001</v>
      </c>
      <c r="D73" s="41">
        <v>4</v>
      </c>
      <c r="E73" s="55" t="s">
        <v>64</v>
      </c>
      <c r="F73" s="42">
        <v>2.5399999999999999E-2</v>
      </c>
      <c r="G73" s="42">
        <v>1.5900000000000001E-3</v>
      </c>
    </row>
    <row r="74" spans="1:7" x14ac:dyDescent="0.25">
      <c r="A74" s="33" t="s">
        <v>70</v>
      </c>
      <c r="B74" s="41">
        <v>25</v>
      </c>
      <c r="C74" s="52">
        <v>0.13300000000000001</v>
      </c>
      <c r="D74" s="41">
        <v>4</v>
      </c>
      <c r="E74" s="55" t="s">
        <v>64</v>
      </c>
      <c r="F74" s="42">
        <v>2.5399999999999999E-2</v>
      </c>
      <c r="G74" s="42">
        <v>1.5900000000000001E-3</v>
      </c>
    </row>
    <row r="75" spans="1:7" ht="30" x14ac:dyDescent="0.25">
      <c r="A75" s="33" t="s">
        <v>71</v>
      </c>
      <c r="B75" s="41">
        <v>26</v>
      </c>
      <c r="C75" s="52">
        <v>0.13900000000000001</v>
      </c>
      <c r="D75" s="41">
        <v>4</v>
      </c>
      <c r="E75" s="55" t="s">
        <v>72</v>
      </c>
      <c r="F75" s="42">
        <v>2.9899999999999999E-2</v>
      </c>
      <c r="G75" s="42">
        <v>1.67E-3</v>
      </c>
    </row>
    <row r="76" spans="1:7" x14ac:dyDescent="0.25">
      <c r="A76" s="33" t="s">
        <v>73</v>
      </c>
      <c r="B76" s="41">
        <v>26</v>
      </c>
      <c r="C76" s="52">
        <v>0.13900000000000001</v>
      </c>
      <c r="D76" s="41">
        <v>4</v>
      </c>
      <c r="E76" s="55" t="s">
        <v>72</v>
      </c>
      <c r="F76" s="42">
        <v>2.9899999999999999E-2</v>
      </c>
      <c r="G76" s="42">
        <v>1.67E-3</v>
      </c>
    </row>
    <row r="77" spans="1:7" x14ac:dyDescent="0.25">
      <c r="A77" s="34" t="s">
        <v>74</v>
      </c>
      <c r="B77" s="41">
        <v>100</v>
      </c>
      <c r="C77" s="52">
        <v>0.53300000000000003</v>
      </c>
      <c r="D77" s="41">
        <v>6</v>
      </c>
      <c r="E77" s="55" t="s">
        <v>75</v>
      </c>
      <c r="F77" s="42">
        <v>3.5999999999999997E-2</v>
      </c>
      <c r="G77" s="42">
        <v>1.8E-3</v>
      </c>
    </row>
    <row r="78" spans="1:7" x14ac:dyDescent="0.25">
      <c r="A78" s="33" t="s">
        <v>76</v>
      </c>
      <c r="B78" s="41">
        <v>9</v>
      </c>
      <c r="C78" s="52">
        <v>4.8000000000000001E-2</v>
      </c>
      <c r="D78" s="41">
        <v>3</v>
      </c>
      <c r="E78" s="55" t="s">
        <v>77</v>
      </c>
      <c r="F78" s="42">
        <v>3.7699999999999997E-2</v>
      </c>
      <c r="G78" s="42">
        <v>1.8E-3</v>
      </c>
    </row>
    <row r="79" spans="1:7" x14ac:dyDescent="0.25">
      <c r="A79" s="35" t="s">
        <v>78</v>
      </c>
      <c r="B79" s="41">
        <v>9</v>
      </c>
      <c r="C79" s="52">
        <v>4.8000000000000001E-2</v>
      </c>
      <c r="D79" s="41">
        <v>3</v>
      </c>
      <c r="E79" s="55" t="s">
        <v>77</v>
      </c>
      <c r="F79" s="42">
        <v>3.7699999999999997E-2</v>
      </c>
      <c r="G79" s="42">
        <v>1.8E-3</v>
      </c>
    </row>
    <row r="80" spans="1:7" x14ac:dyDescent="0.25">
      <c r="A80" s="33" t="s">
        <v>79</v>
      </c>
      <c r="B80" s="41">
        <v>157</v>
      </c>
      <c r="C80" s="52">
        <v>0.83699999999999997</v>
      </c>
      <c r="D80" s="41">
        <v>7</v>
      </c>
      <c r="E80" s="55" t="s">
        <v>80</v>
      </c>
      <c r="F80" s="42">
        <v>4.19E-2</v>
      </c>
      <c r="G80" s="42">
        <v>1.92E-3</v>
      </c>
    </row>
    <row r="81" spans="1:7" x14ac:dyDescent="0.25">
      <c r="A81" s="33" t="s">
        <v>81</v>
      </c>
      <c r="B81" s="41">
        <v>107</v>
      </c>
      <c r="C81" s="52">
        <v>0.57099999999999995</v>
      </c>
      <c r="D81" s="41">
        <v>6</v>
      </c>
      <c r="E81" s="55" t="s">
        <v>82</v>
      </c>
      <c r="F81" s="42">
        <v>5.3100000000000001E-2</v>
      </c>
      <c r="G81" s="42">
        <v>2.0899999999999998E-3</v>
      </c>
    </row>
    <row r="82" spans="1:7" ht="30" x14ac:dyDescent="0.25">
      <c r="A82" s="33" t="s">
        <v>83</v>
      </c>
      <c r="B82" s="41">
        <v>10</v>
      </c>
      <c r="C82" s="52">
        <v>5.33E-2</v>
      </c>
      <c r="D82" s="41">
        <v>3</v>
      </c>
      <c r="E82" s="55" t="s">
        <v>84</v>
      </c>
      <c r="F82" s="42">
        <v>5.3600000000000002E-2</v>
      </c>
      <c r="G82" s="42">
        <v>2.0899999999999998E-3</v>
      </c>
    </row>
    <row r="83" spans="1:7" x14ac:dyDescent="0.25">
      <c r="A83" s="33" t="s">
        <v>85</v>
      </c>
      <c r="B83" s="41">
        <v>10</v>
      </c>
      <c r="C83" s="52">
        <v>5.33E-2</v>
      </c>
      <c r="D83" s="41">
        <v>3</v>
      </c>
      <c r="E83" s="55" t="s">
        <v>84</v>
      </c>
      <c r="F83" s="42">
        <v>5.3600000000000002E-2</v>
      </c>
      <c r="G83" s="42">
        <v>2.0899999999999998E-3</v>
      </c>
    </row>
    <row r="84" spans="1:7" x14ac:dyDescent="0.25">
      <c r="A84" s="33" t="s">
        <v>12</v>
      </c>
      <c r="B84" s="41">
        <v>30</v>
      </c>
      <c r="C84" s="52">
        <v>0.16</v>
      </c>
      <c r="D84" s="41">
        <v>4</v>
      </c>
      <c r="E84" s="55" t="s">
        <v>86</v>
      </c>
      <c r="F84" s="42">
        <v>5.3800000000000001E-2</v>
      </c>
      <c r="G84" s="42">
        <v>2.0899999999999998E-3</v>
      </c>
    </row>
    <row r="85" spans="1:7" x14ac:dyDescent="0.25">
      <c r="A85" s="33" t="s">
        <v>87</v>
      </c>
      <c r="B85" s="41">
        <v>110</v>
      </c>
      <c r="C85" s="52">
        <v>0.58699999999999997</v>
      </c>
      <c r="D85" s="41">
        <v>6</v>
      </c>
      <c r="E85" s="55" t="s">
        <v>88</v>
      </c>
      <c r="F85" s="42">
        <v>6.2199999999999998E-2</v>
      </c>
      <c r="G85" s="42">
        <v>2.32E-3</v>
      </c>
    </row>
    <row r="86" spans="1:7" x14ac:dyDescent="0.25">
      <c r="A86" s="34" t="s">
        <v>89</v>
      </c>
      <c r="B86" s="41">
        <v>11</v>
      </c>
      <c r="C86" s="52">
        <v>5.8700000000000002E-2</v>
      </c>
      <c r="D86" s="41">
        <v>3</v>
      </c>
      <c r="E86" s="55" t="s">
        <v>90</v>
      </c>
      <c r="F86" s="42">
        <v>7.3300000000000004E-2</v>
      </c>
      <c r="G86" s="42">
        <v>2.64E-3</v>
      </c>
    </row>
    <row r="87" spans="1:7" x14ac:dyDescent="0.25">
      <c r="A87" s="33" t="s">
        <v>91</v>
      </c>
      <c r="B87" s="41">
        <v>322</v>
      </c>
      <c r="C87" s="52">
        <v>1.72</v>
      </c>
      <c r="D87" s="41">
        <v>9</v>
      </c>
      <c r="E87" s="55" t="s">
        <v>92</v>
      </c>
      <c r="F87" s="42">
        <v>8.3000000000000004E-2</v>
      </c>
      <c r="G87" s="42">
        <v>2.8900000000000002E-3</v>
      </c>
    </row>
    <row r="88" spans="1:7" ht="30" x14ac:dyDescent="0.25">
      <c r="A88" s="33" t="s">
        <v>93</v>
      </c>
      <c r="B88" s="41">
        <v>37</v>
      </c>
      <c r="C88" s="52">
        <v>0.19700000000000001</v>
      </c>
      <c r="D88" s="41">
        <v>4</v>
      </c>
      <c r="E88" s="55" t="s">
        <v>94</v>
      </c>
      <c r="F88" s="42">
        <v>0.126</v>
      </c>
      <c r="G88" s="42">
        <v>4.2500000000000003E-3</v>
      </c>
    </row>
    <row r="89" spans="1:7" ht="30" x14ac:dyDescent="0.25">
      <c r="A89" s="33" t="s">
        <v>95</v>
      </c>
      <c r="B89" s="41">
        <v>38</v>
      </c>
      <c r="C89" s="52">
        <v>0.20300000000000001</v>
      </c>
      <c r="D89" s="41">
        <v>4</v>
      </c>
      <c r="E89" s="55" t="s">
        <v>96</v>
      </c>
      <c r="F89" s="42">
        <v>0.14099999999999999</v>
      </c>
      <c r="G89" s="42">
        <v>4.5799999999999999E-3</v>
      </c>
    </row>
    <row r="90" spans="1:7" ht="30" x14ac:dyDescent="0.25">
      <c r="A90" s="33" t="s">
        <v>97</v>
      </c>
      <c r="B90" s="41">
        <v>78</v>
      </c>
      <c r="C90" s="52">
        <v>0.41599999999999998</v>
      </c>
      <c r="D90" s="41">
        <v>5</v>
      </c>
      <c r="E90" s="55" t="s">
        <v>98</v>
      </c>
      <c r="F90" s="42">
        <v>0.158</v>
      </c>
      <c r="G90" s="42">
        <v>4.8300000000000001E-3</v>
      </c>
    </row>
    <row r="91" spans="1:7" x14ac:dyDescent="0.25">
      <c r="A91" s="33" t="s">
        <v>99</v>
      </c>
      <c r="B91" s="41">
        <v>78</v>
      </c>
      <c r="C91" s="52">
        <v>0.41599999999999998</v>
      </c>
      <c r="D91" s="41">
        <v>5</v>
      </c>
      <c r="E91" s="55" t="s">
        <v>98</v>
      </c>
      <c r="F91" s="42">
        <v>0.158</v>
      </c>
      <c r="G91" s="42">
        <v>4.8300000000000001E-3</v>
      </c>
    </row>
    <row r="92" spans="1:7" x14ac:dyDescent="0.25">
      <c r="A92" s="33" t="s">
        <v>100</v>
      </c>
      <c r="B92" s="41">
        <v>194</v>
      </c>
      <c r="C92" s="52">
        <v>1.03</v>
      </c>
      <c r="D92" s="41">
        <v>7</v>
      </c>
      <c r="E92" s="55" t="s">
        <v>101</v>
      </c>
      <c r="F92" s="42">
        <v>0.16600000000000001</v>
      </c>
      <c r="G92" s="42">
        <v>4.9199999999999999E-3</v>
      </c>
    </row>
    <row r="93" spans="1:7" x14ac:dyDescent="0.25">
      <c r="A93" s="33" t="s">
        <v>102</v>
      </c>
      <c r="B93" s="41">
        <v>41</v>
      </c>
      <c r="C93" s="52">
        <v>0.219</v>
      </c>
      <c r="D93" s="41">
        <v>4</v>
      </c>
      <c r="E93" s="55" t="s">
        <v>103</v>
      </c>
      <c r="F93" s="42">
        <v>0.191</v>
      </c>
      <c r="G93" s="42">
        <v>5.1500000000000001E-3</v>
      </c>
    </row>
    <row r="94" spans="1:7" x14ac:dyDescent="0.25">
      <c r="A94" s="32" t="s">
        <v>7</v>
      </c>
      <c r="B94" s="41">
        <v>15</v>
      </c>
      <c r="C94" s="52">
        <v>0.08</v>
      </c>
      <c r="D94" s="41">
        <v>3</v>
      </c>
      <c r="E94" s="55" t="s">
        <v>104</v>
      </c>
      <c r="F94" s="42">
        <v>0.19900000000000001</v>
      </c>
      <c r="G94" s="42">
        <v>5.1500000000000001E-3</v>
      </c>
    </row>
    <row r="95" spans="1:7" x14ac:dyDescent="0.25">
      <c r="A95" s="33" t="s">
        <v>105</v>
      </c>
      <c r="B95" s="41">
        <v>15</v>
      </c>
      <c r="C95" s="52">
        <v>0.08</v>
      </c>
      <c r="D95" s="41">
        <v>3</v>
      </c>
      <c r="E95" s="55" t="s">
        <v>104</v>
      </c>
      <c r="F95" s="42">
        <v>0.19900000000000001</v>
      </c>
      <c r="G95" s="42">
        <v>5.1500000000000001E-3</v>
      </c>
    </row>
    <row r="96" spans="1:7" x14ac:dyDescent="0.25">
      <c r="A96" s="33" t="s">
        <v>106</v>
      </c>
      <c r="B96" s="41">
        <v>15</v>
      </c>
      <c r="C96" s="52">
        <v>0.08</v>
      </c>
      <c r="D96" s="41">
        <v>3</v>
      </c>
      <c r="E96" s="55" t="s">
        <v>104</v>
      </c>
      <c r="F96" s="42">
        <v>0.19900000000000001</v>
      </c>
      <c r="G96" s="42">
        <v>5.1500000000000001E-3</v>
      </c>
    </row>
    <row r="97" spans="1:7" ht="30" x14ac:dyDescent="0.25">
      <c r="A97" s="33" t="s">
        <v>107</v>
      </c>
      <c r="B97" s="41">
        <v>15</v>
      </c>
      <c r="C97" s="52">
        <v>0.08</v>
      </c>
      <c r="D97" s="41">
        <v>3</v>
      </c>
      <c r="E97" s="55" t="s">
        <v>104</v>
      </c>
      <c r="F97" s="42">
        <v>0.19900000000000001</v>
      </c>
      <c r="G97" s="42">
        <v>5.1500000000000001E-3</v>
      </c>
    </row>
    <row r="98" spans="1:7" ht="30" x14ac:dyDescent="0.25">
      <c r="A98" s="33" t="s">
        <v>108</v>
      </c>
      <c r="B98" s="41">
        <v>16</v>
      </c>
      <c r="C98" s="52">
        <v>8.5300000000000001E-2</v>
      </c>
      <c r="D98" s="41">
        <v>3</v>
      </c>
      <c r="E98" s="55" t="s">
        <v>109</v>
      </c>
      <c r="F98" s="42">
        <v>0.24399999999999999</v>
      </c>
      <c r="G98" s="42">
        <v>6.1599999999999997E-3</v>
      </c>
    </row>
    <row r="99" spans="1:7" x14ac:dyDescent="0.25">
      <c r="A99" s="33" t="s">
        <v>110</v>
      </c>
      <c r="B99" s="41">
        <v>46</v>
      </c>
      <c r="C99" s="52">
        <v>0.245</v>
      </c>
      <c r="D99" s="41">
        <v>4</v>
      </c>
      <c r="E99" s="55" t="s">
        <v>111</v>
      </c>
      <c r="F99" s="42">
        <v>0.30099999999999999</v>
      </c>
      <c r="G99" s="42">
        <v>7.43E-3</v>
      </c>
    </row>
    <row r="100" spans="1:7" x14ac:dyDescent="0.25">
      <c r="A100" s="33" t="s">
        <v>112</v>
      </c>
      <c r="B100" s="41">
        <v>47</v>
      </c>
      <c r="C100" s="52">
        <v>0.251</v>
      </c>
      <c r="D100" s="41">
        <v>4</v>
      </c>
      <c r="E100" s="55" t="s">
        <v>113</v>
      </c>
      <c r="F100" s="42">
        <v>0.32800000000000001</v>
      </c>
      <c r="G100" s="42">
        <v>7.9000000000000008E-3</v>
      </c>
    </row>
    <row r="101" spans="1:7" ht="30" x14ac:dyDescent="0.25">
      <c r="A101" s="35" t="s">
        <v>114</v>
      </c>
      <c r="B101" s="41">
        <v>18</v>
      </c>
      <c r="C101" s="52">
        <v>9.6000000000000002E-2</v>
      </c>
      <c r="D101" s="41">
        <v>3</v>
      </c>
      <c r="E101" s="42">
        <v>1.0399999999999999E-4</v>
      </c>
      <c r="F101" s="42">
        <v>0.35199999999999998</v>
      </c>
      <c r="G101" s="42">
        <v>8.2000000000000007E-3</v>
      </c>
    </row>
    <row r="102" spans="1:7" x14ac:dyDescent="0.25">
      <c r="A102" s="33" t="s">
        <v>115</v>
      </c>
      <c r="B102" s="41">
        <v>48</v>
      </c>
      <c r="C102" s="52">
        <v>0.25600000000000001</v>
      </c>
      <c r="D102" s="41">
        <v>4</v>
      </c>
      <c r="E102" s="42">
        <v>1.05E-4</v>
      </c>
      <c r="F102" s="42">
        <v>0.35599999999999998</v>
      </c>
      <c r="G102" s="42">
        <v>8.2000000000000007E-3</v>
      </c>
    </row>
    <row r="103" spans="1:7" x14ac:dyDescent="0.25">
      <c r="A103" s="66" t="s">
        <v>8</v>
      </c>
      <c r="B103" s="43">
        <v>49</v>
      </c>
      <c r="C103" s="45">
        <v>0.26100000000000001</v>
      </c>
      <c r="D103" s="43">
        <v>4</v>
      </c>
      <c r="E103" s="44">
        <v>1.1400000000000001E-4</v>
      </c>
      <c r="F103" s="44">
        <v>0.38600000000000001</v>
      </c>
      <c r="G103" s="44">
        <v>8.6999999999999994E-3</v>
      </c>
    </row>
    <row r="104" spans="1:7" x14ac:dyDescent="0.25">
      <c r="A104" s="64" t="s">
        <v>48</v>
      </c>
      <c r="B104" s="43" t="s">
        <v>0</v>
      </c>
      <c r="C104" s="45" t="s">
        <v>1</v>
      </c>
      <c r="D104" s="43" t="s">
        <v>2</v>
      </c>
      <c r="E104" s="44" t="s">
        <v>3</v>
      </c>
      <c r="F104" s="43" t="s">
        <v>4</v>
      </c>
      <c r="G104" s="43" t="s">
        <v>5</v>
      </c>
    </row>
    <row r="105" spans="1:7" x14ac:dyDescent="0.25">
      <c r="A105" s="33" t="s">
        <v>76</v>
      </c>
      <c r="B105" s="41">
        <v>3</v>
      </c>
      <c r="C105" s="52">
        <v>0.56799999999999995</v>
      </c>
      <c r="D105" s="41">
        <v>3</v>
      </c>
      <c r="E105" s="42">
        <v>6.3699999999999998E-3</v>
      </c>
      <c r="F105" s="41">
        <v>1</v>
      </c>
      <c r="G105" s="41">
        <v>1</v>
      </c>
    </row>
    <row r="106" spans="1:7" x14ac:dyDescent="0.25">
      <c r="A106" s="65" t="s">
        <v>53</v>
      </c>
      <c r="B106" s="41">
        <v>3</v>
      </c>
      <c r="C106" s="52">
        <v>0.56799999999999995</v>
      </c>
      <c r="D106" s="41">
        <v>3</v>
      </c>
      <c r="E106" s="42">
        <v>6.3699999999999998E-3</v>
      </c>
      <c r="F106" s="41">
        <v>1</v>
      </c>
      <c r="G106" s="41">
        <v>1</v>
      </c>
    </row>
    <row r="107" spans="1:7" ht="30" x14ac:dyDescent="0.25">
      <c r="A107" s="33" t="s">
        <v>83</v>
      </c>
      <c r="B107" s="41">
        <v>3</v>
      </c>
      <c r="C107" s="52">
        <v>0.56799999999999995</v>
      </c>
      <c r="D107" s="41">
        <v>3</v>
      </c>
      <c r="E107" s="42">
        <v>6.3699999999999998E-3</v>
      </c>
      <c r="F107" s="41">
        <v>1</v>
      </c>
      <c r="G107" s="41">
        <v>1</v>
      </c>
    </row>
    <row r="108" spans="1:7" x14ac:dyDescent="0.25">
      <c r="A108" s="35" t="s">
        <v>78</v>
      </c>
      <c r="B108" s="41">
        <v>3</v>
      </c>
      <c r="C108" s="52">
        <v>0.56799999999999995</v>
      </c>
      <c r="D108" s="41">
        <v>3</v>
      </c>
      <c r="E108" s="42">
        <v>6.3699999999999998E-3</v>
      </c>
      <c r="F108" s="41">
        <v>1</v>
      </c>
      <c r="G108" s="41">
        <v>1</v>
      </c>
    </row>
    <row r="109" spans="1:7" x14ac:dyDescent="0.25">
      <c r="A109" s="34" t="s">
        <v>89</v>
      </c>
      <c r="B109" s="41">
        <v>4</v>
      </c>
      <c r="C109" s="52">
        <v>0.75700000000000001</v>
      </c>
      <c r="D109" s="41">
        <v>3</v>
      </c>
      <c r="E109" s="42">
        <v>2.2100000000000002E-2</v>
      </c>
      <c r="F109" s="41">
        <v>1</v>
      </c>
      <c r="G109" s="41">
        <v>1</v>
      </c>
    </row>
    <row r="110" spans="1:7" ht="30" x14ac:dyDescent="0.25">
      <c r="A110" s="33" t="s">
        <v>107</v>
      </c>
      <c r="B110" s="41">
        <v>4</v>
      </c>
      <c r="C110" s="52">
        <v>0.75700000000000001</v>
      </c>
      <c r="D110" s="41">
        <v>3</v>
      </c>
      <c r="E110" s="42">
        <v>2.2100000000000002E-2</v>
      </c>
      <c r="F110" s="41">
        <v>1</v>
      </c>
      <c r="G110" s="41">
        <v>1</v>
      </c>
    </row>
    <row r="111" spans="1:7" ht="30" x14ac:dyDescent="0.25">
      <c r="A111" s="33" t="s">
        <v>49</v>
      </c>
      <c r="B111" s="41">
        <v>7</v>
      </c>
      <c r="C111" s="52">
        <v>1.33</v>
      </c>
      <c r="D111" s="41">
        <v>4</v>
      </c>
      <c r="E111" s="42">
        <v>2.53E-2</v>
      </c>
      <c r="F111" s="41">
        <v>1</v>
      </c>
      <c r="G111" s="41">
        <v>1</v>
      </c>
    </row>
    <row r="112" spans="1:7" ht="30" x14ac:dyDescent="0.25">
      <c r="A112" s="33" t="s">
        <v>51</v>
      </c>
      <c r="B112" s="41">
        <v>7</v>
      </c>
      <c r="C112" s="52">
        <v>1.33</v>
      </c>
      <c r="D112" s="41">
        <v>4</v>
      </c>
      <c r="E112" s="42">
        <v>2.53E-2</v>
      </c>
      <c r="F112" s="41">
        <v>1</v>
      </c>
      <c r="G112" s="41">
        <v>1</v>
      </c>
    </row>
    <row r="113" spans="1:7" x14ac:dyDescent="0.25">
      <c r="A113" s="33" t="s">
        <v>52</v>
      </c>
      <c r="B113" s="41">
        <v>7</v>
      </c>
      <c r="C113" s="52">
        <v>1.33</v>
      </c>
      <c r="D113" s="41">
        <v>4</v>
      </c>
      <c r="E113" s="42">
        <v>2.53E-2</v>
      </c>
      <c r="F113" s="41">
        <v>1</v>
      </c>
      <c r="G113" s="41">
        <v>1</v>
      </c>
    </row>
    <row r="114" spans="1:7" x14ac:dyDescent="0.25">
      <c r="A114" s="65" t="s">
        <v>53</v>
      </c>
      <c r="B114" s="41">
        <v>7</v>
      </c>
      <c r="C114" s="52">
        <v>1.33</v>
      </c>
      <c r="D114" s="41">
        <v>4</v>
      </c>
      <c r="E114" s="42">
        <v>2.53E-2</v>
      </c>
      <c r="F114" s="41">
        <v>1</v>
      </c>
      <c r="G114" s="41">
        <v>1</v>
      </c>
    </row>
    <row r="115" spans="1:7" x14ac:dyDescent="0.25">
      <c r="A115" s="33" t="s">
        <v>116</v>
      </c>
      <c r="B115" s="41">
        <v>2</v>
      </c>
      <c r="C115" s="52">
        <v>0.379</v>
      </c>
      <c r="D115" s="41">
        <v>2</v>
      </c>
      <c r="E115" s="42">
        <v>3.5099999999999999E-2</v>
      </c>
      <c r="F115" s="41">
        <v>1</v>
      </c>
      <c r="G115" s="41">
        <v>1</v>
      </c>
    </row>
    <row r="116" spans="1:7" x14ac:dyDescent="0.25">
      <c r="A116" s="34" t="s">
        <v>117</v>
      </c>
      <c r="B116" s="41">
        <v>2</v>
      </c>
      <c r="C116" s="52">
        <v>0.379</v>
      </c>
      <c r="D116" s="41">
        <v>2</v>
      </c>
      <c r="E116" s="42">
        <v>3.5099999999999999E-2</v>
      </c>
      <c r="F116" s="41">
        <v>1</v>
      </c>
      <c r="G116" s="41">
        <v>1</v>
      </c>
    </row>
    <row r="117" spans="1:7" x14ac:dyDescent="0.25">
      <c r="A117" s="33" t="s">
        <v>118</v>
      </c>
      <c r="B117" s="41">
        <v>2</v>
      </c>
      <c r="C117" s="52">
        <v>0.379</v>
      </c>
      <c r="D117" s="41">
        <v>2</v>
      </c>
      <c r="E117" s="42">
        <v>3.5099999999999999E-2</v>
      </c>
      <c r="F117" s="41">
        <v>1</v>
      </c>
      <c r="G117" s="41">
        <v>1</v>
      </c>
    </row>
    <row r="118" spans="1:7" x14ac:dyDescent="0.25">
      <c r="A118" s="33" t="s">
        <v>10</v>
      </c>
      <c r="B118" s="41">
        <v>8</v>
      </c>
      <c r="C118" s="52">
        <v>1.51</v>
      </c>
      <c r="D118" s="41">
        <v>4</v>
      </c>
      <c r="E118" s="42">
        <v>4.36E-2</v>
      </c>
      <c r="F118" s="41">
        <v>1</v>
      </c>
      <c r="G118" s="41">
        <v>1</v>
      </c>
    </row>
    <row r="119" spans="1:7" x14ac:dyDescent="0.25">
      <c r="A119" s="33" t="s">
        <v>65</v>
      </c>
      <c r="B119" s="41">
        <v>8</v>
      </c>
      <c r="C119" s="52">
        <v>1.51</v>
      </c>
      <c r="D119" s="41">
        <v>4</v>
      </c>
      <c r="E119" s="42">
        <v>4.36E-2</v>
      </c>
      <c r="F119" s="41">
        <v>1</v>
      </c>
      <c r="G119" s="41">
        <v>1</v>
      </c>
    </row>
    <row r="120" spans="1:7" ht="30" x14ac:dyDescent="0.25">
      <c r="A120" s="33" t="s">
        <v>66</v>
      </c>
      <c r="B120" s="41">
        <v>8</v>
      </c>
      <c r="C120" s="52">
        <v>1.51</v>
      </c>
      <c r="D120" s="41">
        <v>4</v>
      </c>
      <c r="E120" s="42">
        <v>4.36E-2</v>
      </c>
      <c r="F120" s="41">
        <v>1</v>
      </c>
      <c r="G120" s="41">
        <v>1</v>
      </c>
    </row>
    <row r="121" spans="1:7" ht="30" x14ac:dyDescent="0.25">
      <c r="A121" s="33" t="s">
        <v>67</v>
      </c>
      <c r="B121" s="41">
        <v>8</v>
      </c>
      <c r="C121" s="52">
        <v>1.51</v>
      </c>
      <c r="D121" s="41">
        <v>4</v>
      </c>
      <c r="E121" s="42">
        <v>4.36E-2</v>
      </c>
      <c r="F121" s="41">
        <v>1</v>
      </c>
      <c r="G121" s="41">
        <v>1</v>
      </c>
    </row>
    <row r="122" spans="1:7" x14ac:dyDescent="0.25">
      <c r="A122" s="33" t="s">
        <v>68</v>
      </c>
      <c r="B122" s="41">
        <v>8</v>
      </c>
      <c r="C122" s="52">
        <v>1.51</v>
      </c>
      <c r="D122" s="41">
        <v>4</v>
      </c>
      <c r="E122" s="42">
        <v>4.36E-2</v>
      </c>
      <c r="F122" s="41">
        <v>1</v>
      </c>
      <c r="G122" s="41">
        <v>1</v>
      </c>
    </row>
    <row r="123" spans="1:7" ht="30" x14ac:dyDescent="0.25">
      <c r="A123" s="33" t="s">
        <v>69</v>
      </c>
      <c r="B123" s="41">
        <v>8</v>
      </c>
      <c r="C123" s="52">
        <v>1.51</v>
      </c>
      <c r="D123" s="41">
        <v>4</v>
      </c>
      <c r="E123" s="42">
        <v>4.36E-2</v>
      </c>
      <c r="F123" s="41">
        <v>1</v>
      </c>
      <c r="G123" s="41">
        <v>1</v>
      </c>
    </row>
    <row r="124" spans="1:7" x14ac:dyDescent="0.25">
      <c r="A124" s="33" t="s">
        <v>70</v>
      </c>
      <c r="B124" s="41">
        <v>8</v>
      </c>
      <c r="C124" s="52">
        <v>1.51</v>
      </c>
      <c r="D124" s="41">
        <v>4</v>
      </c>
      <c r="E124" s="42">
        <v>4.36E-2</v>
      </c>
      <c r="F124" s="41">
        <v>1</v>
      </c>
      <c r="G124" s="41">
        <v>1</v>
      </c>
    </row>
    <row r="125" spans="1:7" x14ac:dyDescent="0.25">
      <c r="A125" s="33" t="s">
        <v>119</v>
      </c>
      <c r="B125" s="41">
        <v>5</v>
      </c>
      <c r="C125" s="52">
        <v>0.94699999999999995</v>
      </c>
      <c r="D125" s="41">
        <v>3</v>
      </c>
      <c r="E125" s="42">
        <v>4.7899999999999998E-2</v>
      </c>
      <c r="F125" s="41">
        <v>1</v>
      </c>
      <c r="G125" s="41">
        <v>1</v>
      </c>
    </row>
    <row r="126" spans="1:7" x14ac:dyDescent="0.25">
      <c r="A126" s="32" t="s">
        <v>7</v>
      </c>
      <c r="B126" s="41">
        <v>5</v>
      </c>
      <c r="C126" s="52">
        <v>0.94699999999999995</v>
      </c>
      <c r="D126" s="41">
        <v>3</v>
      </c>
      <c r="E126" s="42">
        <v>4.7899999999999998E-2</v>
      </c>
      <c r="F126" s="41">
        <v>1</v>
      </c>
      <c r="G126" s="41">
        <v>1</v>
      </c>
    </row>
    <row r="127" spans="1:7" x14ac:dyDescent="0.25">
      <c r="A127" s="33" t="s">
        <v>105</v>
      </c>
      <c r="B127" s="41">
        <v>5</v>
      </c>
      <c r="C127" s="52">
        <v>0.94699999999999995</v>
      </c>
      <c r="D127" s="41">
        <v>3</v>
      </c>
      <c r="E127" s="42">
        <v>4.7899999999999998E-2</v>
      </c>
      <c r="F127" s="41">
        <v>1</v>
      </c>
      <c r="G127" s="41">
        <v>1</v>
      </c>
    </row>
    <row r="128" spans="1:7" x14ac:dyDescent="0.25">
      <c r="A128" s="33" t="s">
        <v>106</v>
      </c>
      <c r="B128" s="41">
        <v>5</v>
      </c>
      <c r="C128" s="52">
        <v>0.94699999999999995</v>
      </c>
      <c r="D128" s="41">
        <v>3</v>
      </c>
      <c r="E128" s="42">
        <v>4.7899999999999998E-2</v>
      </c>
      <c r="F128" s="41">
        <v>1</v>
      </c>
      <c r="G128" s="41">
        <v>1</v>
      </c>
    </row>
    <row r="129" spans="1:7" ht="30" x14ac:dyDescent="0.25">
      <c r="A129" s="35" t="s">
        <v>114</v>
      </c>
      <c r="B129" s="41">
        <v>5</v>
      </c>
      <c r="C129" s="52">
        <v>0.94699999999999995</v>
      </c>
      <c r="D129" s="41">
        <v>3</v>
      </c>
      <c r="E129" s="42">
        <v>4.7899999999999998E-2</v>
      </c>
      <c r="F129" s="41">
        <v>1</v>
      </c>
      <c r="G129" s="41">
        <v>1</v>
      </c>
    </row>
    <row r="130" spans="1:7" x14ac:dyDescent="0.25">
      <c r="A130" s="33" t="s">
        <v>55</v>
      </c>
      <c r="B130" s="41">
        <v>20</v>
      </c>
      <c r="C130" s="52">
        <v>3.79</v>
      </c>
      <c r="D130" s="41">
        <v>7</v>
      </c>
      <c r="E130" s="42">
        <v>5.79E-2</v>
      </c>
      <c r="F130" s="41">
        <v>1</v>
      </c>
      <c r="G130" s="41">
        <v>1</v>
      </c>
    </row>
    <row r="131" spans="1:7" x14ac:dyDescent="0.25">
      <c r="A131" s="33" t="s">
        <v>58</v>
      </c>
      <c r="B131" s="41">
        <v>9</v>
      </c>
      <c r="C131" s="52">
        <v>1.7</v>
      </c>
      <c r="D131" s="41">
        <v>4</v>
      </c>
      <c r="E131" s="42">
        <v>6.7799999999999999E-2</v>
      </c>
      <c r="F131" s="41">
        <v>1</v>
      </c>
      <c r="G131" s="41">
        <v>1</v>
      </c>
    </row>
    <row r="132" spans="1:7" x14ac:dyDescent="0.25">
      <c r="A132" s="32" t="s">
        <v>21</v>
      </c>
      <c r="B132" s="41">
        <v>13</v>
      </c>
      <c r="C132" s="52">
        <v>2.46</v>
      </c>
      <c r="D132" s="41">
        <v>5</v>
      </c>
      <c r="E132" s="42">
        <v>7.4999999999999997E-2</v>
      </c>
      <c r="F132" s="41">
        <v>1</v>
      </c>
      <c r="G132" s="41">
        <v>1</v>
      </c>
    </row>
    <row r="133" spans="1:7" x14ac:dyDescent="0.25">
      <c r="A133" s="33" t="s">
        <v>120</v>
      </c>
      <c r="B133" s="41">
        <v>6</v>
      </c>
      <c r="C133" s="52">
        <v>1.1399999999999999</v>
      </c>
      <c r="D133" s="41">
        <v>3</v>
      </c>
      <c r="E133" s="42">
        <v>8.3199999999999996E-2</v>
      </c>
      <c r="F133" s="41">
        <v>1</v>
      </c>
      <c r="G133" s="41">
        <v>1</v>
      </c>
    </row>
    <row r="134" spans="1:7" x14ac:dyDescent="0.25">
      <c r="A134" s="35" t="s">
        <v>32</v>
      </c>
      <c r="B134" s="41">
        <v>6</v>
      </c>
      <c r="C134" s="52">
        <v>1.1399999999999999</v>
      </c>
      <c r="D134" s="41">
        <v>3</v>
      </c>
      <c r="E134" s="42">
        <v>8.3199999999999996E-2</v>
      </c>
      <c r="F134" s="41">
        <v>1</v>
      </c>
      <c r="G134" s="41">
        <v>1</v>
      </c>
    </row>
    <row r="135" spans="1:7" x14ac:dyDescent="0.25">
      <c r="A135" s="33" t="s">
        <v>85</v>
      </c>
      <c r="B135" s="41">
        <v>6</v>
      </c>
      <c r="C135" s="52">
        <v>1.1399999999999999</v>
      </c>
      <c r="D135" s="41">
        <v>3</v>
      </c>
      <c r="E135" s="42">
        <v>8.3199999999999996E-2</v>
      </c>
      <c r="F135" s="41">
        <v>1</v>
      </c>
      <c r="G135" s="41">
        <v>1</v>
      </c>
    </row>
    <row r="136" spans="1:7" ht="30" x14ac:dyDescent="0.25">
      <c r="A136" s="33" t="s">
        <v>121</v>
      </c>
      <c r="B136" s="41">
        <v>3</v>
      </c>
      <c r="C136" s="52">
        <v>0.56799999999999995</v>
      </c>
      <c r="D136" s="41">
        <v>2</v>
      </c>
      <c r="E136" s="42">
        <v>9.2600000000000002E-2</v>
      </c>
      <c r="F136" s="41">
        <v>1</v>
      </c>
      <c r="G136" s="41">
        <v>1</v>
      </c>
    </row>
    <row r="137" spans="1:7" x14ac:dyDescent="0.25">
      <c r="A137" s="33" t="s">
        <v>122</v>
      </c>
      <c r="B137" s="41">
        <v>3</v>
      </c>
      <c r="C137" s="52">
        <v>0.56799999999999995</v>
      </c>
      <c r="D137" s="41">
        <v>2</v>
      </c>
      <c r="E137" s="42">
        <v>9.2600000000000002E-2</v>
      </c>
      <c r="F137" s="41">
        <v>1</v>
      </c>
      <c r="G137" s="41">
        <v>1</v>
      </c>
    </row>
    <row r="138" spans="1:7" x14ac:dyDescent="0.25">
      <c r="A138" s="33" t="s">
        <v>123</v>
      </c>
      <c r="B138" s="41">
        <v>3</v>
      </c>
      <c r="C138" s="52">
        <v>0.56799999999999995</v>
      </c>
      <c r="D138" s="41">
        <v>2</v>
      </c>
      <c r="E138" s="42">
        <v>9.2600000000000002E-2</v>
      </c>
      <c r="F138" s="41">
        <v>1</v>
      </c>
      <c r="G138" s="41">
        <v>1</v>
      </c>
    </row>
    <row r="139" spans="1:7" ht="30" x14ac:dyDescent="0.25">
      <c r="A139" s="33" t="s">
        <v>124</v>
      </c>
      <c r="B139" s="41">
        <v>3</v>
      </c>
      <c r="C139" s="52">
        <v>0.56799999999999995</v>
      </c>
      <c r="D139" s="41">
        <v>2</v>
      </c>
      <c r="E139" s="42">
        <v>9.2600000000000002E-2</v>
      </c>
      <c r="F139" s="41">
        <v>1</v>
      </c>
      <c r="G139" s="41">
        <v>1</v>
      </c>
    </row>
    <row r="140" spans="1:7" x14ac:dyDescent="0.25">
      <c r="A140" s="33" t="s">
        <v>110</v>
      </c>
      <c r="B140" s="41">
        <v>10</v>
      </c>
      <c r="C140" s="52">
        <v>1.89</v>
      </c>
      <c r="D140" s="41">
        <v>4</v>
      </c>
      <c r="E140" s="42">
        <v>9.7600000000000006E-2</v>
      </c>
      <c r="F140" s="41">
        <v>1</v>
      </c>
      <c r="G140" s="41">
        <v>1</v>
      </c>
    </row>
    <row r="141" spans="1:7" x14ac:dyDescent="0.25">
      <c r="A141" s="33" t="s">
        <v>74</v>
      </c>
      <c r="B141" s="41">
        <v>18</v>
      </c>
      <c r="C141" s="52">
        <v>3.41</v>
      </c>
      <c r="D141" s="41">
        <v>6</v>
      </c>
      <c r="E141" s="42">
        <v>9.8299999999999998E-2</v>
      </c>
      <c r="F141" s="41">
        <v>1</v>
      </c>
      <c r="G141" s="41">
        <v>1</v>
      </c>
    </row>
    <row r="142" spans="1:7" x14ac:dyDescent="0.25">
      <c r="A142" s="33" t="s">
        <v>87</v>
      </c>
      <c r="B142" s="41">
        <v>18</v>
      </c>
      <c r="C142" s="52">
        <v>3.41</v>
      </c>
      <c r="D142" s="41">
        <v>6</v>
      </c>
      <c r="E142" s="42">
        <v>9.8299999999999998E-2</v>
      </c>
      <c r="F142" s="41">
        <v>1</v>
      </c>
      <c r="G142" s="41">
        <v>1</v>
      </c>
    </row>
    <row r="143" spans="1:7" x14ac:dyDescent="0.25">
      <c r="A143" s="33" t="s">
        <v>125</v>
      </c>
      <c r="B143" s="41">
        <v>7</v>
      </c>
      <c r="C143" s="52">
        <v>1.33</v>
      </c>
      <c r="D143" s="41">
        <v>3</v>
      </c>
      <c r="E143" s="42">
        <v>0.127</v>
      </c>
      <c r="F143" s="41">
        <v>1</v>
      </c>
      <c r="G143" s="41">
        <v>1</v>
      </c>
    </row>
    <row r="144" spans="1:7" x14ac:dyDescent="0.25">
      <c r="A144" s="33" t="s">
        <v>126</v>
      </c>
      <c r="B144" s="41">
        <v>7</v>
      </c>
      <c r="C144" s="52">
        <v>1.33</v>
      </c>
      <c r="D144" s="41">
        <v>3</v>
      </c>
      <c r="E144" s="42">
        <v>0.127</v>
      </c>
      <c r="F144" s="41">
        <v>1</v>
      </c>
      <c r="G144" s="41">
        <v>1</v>
      </c>
    </row>
    <row r="145" spans="1:7" x14ac:dyDescent="0.25">
      <c r="A145" s="33" t="s">
        <v>127</v>
      </c>
      <c r="B145" s="41">
        <v>7</v>
      </c>
      <c r="C145" s="52">
        <v>1.33</v>
      </c>
      <c r="D145" s="41">
        <v>3</v>
      </c>
      <c r="E145" s="42">
        <v>0.127</v>
      </c>
      <c r="F145" s="41">
        <v>1</v>
      </c>
      <c r="G145" s="41">
        <v>1</v>
      </c>
    </row>
    <row r="146" spans="1:7" ht="30" x14ac:dyDescent="0.25">
      <c r="A146" s="33" t="s">
        <v>128</v>
      </c>
      <c r="B146" s="41">
        <v>7</v>
      </c>
      <c r="C146" s="52">
        <v>1.33</v>
      </c>
      <c r="D146" s="41">
        <v>3</v>
      </c>
      <c r="E146" s="42">
        <v>0.127</v>
      </c>
      <c r="F146" s="41">
        <v>1</v>
      </c>
      <c r="G146" s="41">
        <v>1</v>
      </c>
    </row>
    <row r="147" spans="1:7" x14ac:dyDescent="0.25">
      <c r="A147" s="33" t="s">
        <v>13</v>
      </c>
      <c r="B147" s="41">
        <v>7</v>
      </c>
      <c r="C147" s="52">
        <v>1.33</v>
      </c>
      <c r="D147" s="41">
        <v>3</v>
      </c>
      <c r="E147" s="42">
        <v>0.127</v>
      </c>
      <c r="F147" s="41">
        <v>1</v>
      </c>
      <c r="G147" s="41">
        <v>1</v>
      </c>
    </row>
    <row r="148" spans="1:7" x14ac:dyDescent="0.25">
      <c r="A148" s="33" t="s">
        <v>369</v>
      </c>
      <c r="B148" s="41">
        <v>7</v>
      </c>
      <c r="C148" s="52">
        <v>1.33</v>
      </c>
      <c r="D148" s="41">
        <v>3</v>
      </c>
      <c r="E148" s="42">
        <v>0.127</v>
      </c>
      <c r="F148" s="41">
        <v>1</v>
      </c>
      <c r="G148" s="41">
        <v>1</v>
      </c>
    </row>
    <row r="149" spans="1:7" x14ac:dyDescent="0.25">
      <c r="A149" s="33" t="s">
        <v>374</v>
      </c>
      <c r="B149" s="41">
        <v>4</v>
      </c>
      <c r="C149" s="52">
        <v>0.75700000000000001</v>
      </c>
      <c r="D149" s="41">
        <v>2</v>
      </c>
      <c r="E149" s="42">
        <v>0.16300000000000001</v>
      </c>
      <c r="F149" s="41">
        <v>1</v>
      </c>
      <c r="G149" s="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DBBA-5CD2-483B-A154-D9D0341D06A6}">
  <dimension ref="A1:H39"/>
  <sheetViews>
    <sheetView workbookViewId="0">
      <selection activeCell="I8" sqref="I8"/>
    </sheetView>
  </sheetViews>
  <sheetFormatPr defaultRowHeight="15" x14ac:dyDescent="0.25"/>
  <cols>
    <col min="1" max="1" width="23.42578125" bestFit="1" customWidth="1"/>
  </cols>
  <sheetData>
    <row r="1" spans="1:8" x14ac:dyDescent="0.25">
      <c r="A1" s="40" t="s">
        <v>306</v>
      </c>
      <c r="B1" s="46" t="s">
        <v>129</v>
      </c>
      <c r="C1" s="47" t="s">
        <v>380</v>
      </c>
      <c r="D1" s="47" t="s">
        <v>131</v>
      </c>
      <c r="E1" s="47" t="s">
        <v>3</v>
      </c>
      <c r="F1" s="47" t="s">
        <v>381</v>
      </c>
      <c r="G1" s="47" t="s">
        <v>5</v>
      </c>
      <c r="H1" s="47" t="s">
        <v>133</v>
      </c>
    </row>
    <row r="2" spans="1:8" ht="30" x14ac:dyDescent="0.25">
      <c r="A2" s="32" t="s">
        <v>7</v>
      </c>
      <c r="B2" s="56">
        <v>16</v>
      </c>
      <c r="C2" s="52">
        <v>0.38057000000000002</v>
      </c>
      <c r="D2" s="41">
        <v>4</v>
      </c>
      <c r="E2" s="57">
        <v>3.7151000000000003E-4</v>
      </c>
      <c r="F2" s="53">
        <v>3.678E-2</v>
      </c>
      <c r="G2" s="53">
        <v>3.2883000000000003E-2</v>
      </c>
      <c r="H2" s="58">
        <v>0.41378999999999999</v>
      </c>
    </row>
    <row r="3" spans="1:8" x14ac:dyDescent="0.25">
      <c r="A3" s="33" t="s">
        <v>8</v>
      </c>
      <c r="B3" s="56">
        <v>49</v>
      </c>
      <c r="C3" s="52">
        <v>1.1655</v>
      </c>
      <c r="D3" s="41">
        <v>6</v>
      </c>
      <c r="E3" s="57">
        <v>6.6430000000000005E-4</v>
      </c>
      <c r="F3" s="53">
        <v>6.5101999999999993E-2</v>
      </c>
      <c r="G3" s="53">
        <v>3.2883000000000003E-2</v>
      </c>
      <c r="H3" s="58">
        <v>0.22603999999999999</v>
      </c>
    </row>
    <row r="4" spans="1:8" ht="30" x14ac:dyDescent="0.25">
      <c r="A4" s="34" t="s">
        <v>9</v>
      </c>
      <c r="B4" s="56">
        <v>25</v>
      </c>
      <c r="C4" s="52">
        <v>0.59465000000000001</v>
      </c>
      <c r="D4" s="41">
        <v>4</v>
      </c>
      <c r="E4" s="57">
        <v>2.2342999999999998E-3</v>
      </c>
      <c r="F4" s="53">
        <v>0.21673000000000001</v>
      </c>
      <c r="G4" s="53">
        <v>5.6859E-2</v>
      </c>
      <c r="H4" s="52">
        <v>0.15049999999999999</v>
      </c>
    </row>
    <row r="5" spans="1:8" ht="30" x14ac:dyDescent="0.25">
      <c r="A5" s="33" t="s">
        <v>10</v>
      </c>
      <c r="B5" s="56">
        <v>26</v>
      </c>
      <c r="C5" s="52">
        <v>0.61843000000000004</v>
      </c>
      <c r="D5" s="41">
        <v>4</v>
      </c>
      <c r="E5" s="57">
        <v>2.5983999999999998E-3</v>
      </c>
      <c r="F5" s="53">
        <v>0.24944</v>
      </c>
      <c r="G5" s="53">
        <v>5.6859E-2</v>
      </c>
      <c r="H5" s="52">
        <v>9.5065999999999998E-2</v>
      </c>
    </row>
    <row r="6" spans="1:8" ht="30" x14ac:dyDescent="0.25">
      <c r="A6" s="35" t="s">
        <v>6</v>
      </c>
      <c r="B6" s="56">
        <v>27</v>
      </c>
      <c r="C6" s="52">
        <v>0.64222000000000001</v>
      </c>
      <c r="D6" s="41">
        <v>4</v>
      </c>
      <c r="E6" s="57">
        <v>3.0016000000000001E-3</v>
      </c>
      <c r="F6" s="53">
        <v>0.28515000000000001</v>
      </c>
      <c r="G6" s="53">
        <v>5.6859E-2</v>
      </c>
      <c r="H6" s="58">
        <v>0.2346</v>
      </c>
    </row>
    <row r="7" spans="1:8" ht="30" x14ac:dyDescent="0.25">
      <c r="A7" s="33" t="s">
        <v>11</v>
      </c>
      <c r="B7" s="56">
        <v>28</v>
      </c>
      <c r="C7" s="52">
        <v>0.66600999999999999</v>
      </c>
      <c r="D7" s="41">
        <v>4</v>
      </c>
      <c r="E7" s="57">
        <v>3.4459999999999998E-3</v>
      </c>
      <c r="F7" s="53">
        <v>0.32391999999999999</v>
      </c>
      <c r="G7" s="53">
        <v>5.6859E-2</v>
      </c>
      <c r="H7" s="58">
        <v>0.23463999999999999</v>
      </c>
    </row>
    <row r="8" spans="1:8" x14ac:dyDescent="0.25">
      <c r="A8" s="33" t="s">
        <v>12</v>
      </c>
      <c r="B8" s="56">
        <v>30</v>
      </c>
      <c r="C8" s="52">
        <v>0.71357999999999999</v>
      </c>
      <c r="D8" s="41">
        <v>4</v>
      </c>
      <c r="E8" s="57">
        <v>4.4662E-3</v>
      </c>
      <c r="F8" s="53">
        <v>0.41536000000000001</v>
      </c>
      <c r="G8" s="53">
        <v>6.3164999999999999E-2</v>
      </c>
      <c r="H8" s="52">
        <v>0.13657</v>
      </c>
    </row>
    <row r="9" spans="1:8" x14ac:dyDescent="0.25">
      <c r="A9" s="33" t="s">
        <v>14</v>
      </c>
      <c r="B9" s="56">
        <v>20</v>
      </c>
      <c r="C9" s="52">
        <v>0.47571999999999998</v>
      </c>
      <c r="D9" s="41">
        <v>3</v>
      </c>
      <c r="E9" s="57">
        <v>1.0343E-2</v>
      </c>
      <c r="F9" s="53">
        <v>0.9516</v>
      </c>
      <c r="G9" s="53">
        <v>0.128</v>
      </c>
      <c r="H9" s="52">
        <v>5.5154000000000002E-2</v>
      </c>
    </row>
    <row r="10" spans="1:8" ht="30" x14ac:dyDescent="0.25">
      <c r="A10" s="34" t="s">
        <v>16</v>
      </c>
      <c r="B10" s="56">
        <v>8</v>
      </c>
      <c r="C10" s="52">
        <v>0.19028999999999999</v>
      </c>
      <c r="D10" s="41">
        <v>2</v>
      </c>
      <c r="E10" s="57">
        <v>1.3919000000000001E-2</v>
      </c>
      <c r="F10" s="41">
        <v>1</v>
      </c>
      <c r="G10" s="53">
        <v>0.15311</v>
      </c>
      <c r="H10" s="58">
        <v>0.76190000000000002</v>
      </c>
    </row>
    <row r="11" spans="1:8" ht="30" x14ac:dyDescent="0.25">
      <c r="A11" s="33" t="s">
        <v>15</v>
      </c>
      <c r="B11" s="56">
        <v>9</v>
      </c>
      <c r="C11" s="52">
        <v>0.21407000000000001</v>
      </c>
      <c r="D11" s="41">
        <v>2</v>
      </c>
      <c r="E11" s="57">
        <v>1.7638000000000001E-2</v>
      </c>
      <c r="F11" s="41">
        <v>1</v>
      </c>
      <c r="G11" s="53">
        <v>0.17460999999999999</v>
      </c>
      <c r="H11" s="52">
        <v>0.2</v>
      </c>
    </row>
    <row r="12" spans="1:8" x14ac:dyDescent="0.25">
      <c r="A12" s="33" t="s">
        <v>19</v>
      </c>
      <c r="B12" s="56">
        <v>26</v>
      </c>
      <c r="C12" s="52">
        <v>0.61843000000000004</v>
      </c>
      <c r="D12" s="41">
        <v>3</v>
      </c>
      <c r="E12" s="57">
        <v>2.1472999999999999E-2</v>
      </c>
      <c r="F12" s="41">
        <v>1</v>
      </c>
      <c r="G12" s="53">
        <v>0.19325000000000001</v>
      </c>
      <c r="H12" s="52">
        <v>0.14091000000000001</v>
      </c>
    </row>
    <row r="13" spans="1:8" x14ac:dyDescent="0.25">
      <c r="A13" s="33" t="s">
        <v>17</v>
      </c>
      <c r="B13" s="56">
        <v>11</v>
      </c>
      <c r="C13" s="52">
        <v>0.26164999999999999</v>
      </c>
      <c r="D13" s="41">
        <v>2</v>
      </c>
      <c r="E13" s="57">
        <v>2.6173999999999999E-2</v>
      </c>
      <c r="F13" s="41">
        <v>1</v>
      </c>
      <c r="G13" s="53">
        <v>0.21593000000000001</v>
      </c>
      <c r="H13" s="58">
        <v>0.29870000000000002</v>
      </c>
    </row>
    <row r="14" spans="1:8" x14ac:dyDescent="0.25">
      <c r="A14" s="33" t="s">
        <v>13</v>
      </c>
      <c r="B14" s="56">
        <v>31</v>
      </c>
      <c r="C14" s="52">
        <v>0.73736000000000002</v>
      </c>
      <c r="D14" s="41">
        <v>3</v>
      </c>
      <c r="E14" s="57">
        <v>3.4329999999999999E-2</v>
      </c>
      <c r="F14" s="41">
        <v>1</v>
      </c>
      <c r="G14" s="53">
        <v>0.23798</v>
      </c>
      <c r="H14" s="59">
        <v>0</v>
      </c>
    </row>
    <row r="15" spans="1:8" x14ac:dyDescent="0.25">
      <c r="A15" s="33" t="s">
        <v>21</v>
      </c>
      <c r="B15" s="56">
        <v>31</v>
      </c>
      <c r="C15" s="52">
        <v>0.73736000000000002</v>
      </c>
      <c r="D15" s="41">
        <v>3</v>
      </c>
      <c r="E15" s="57">
        <v>3.4329999999999999E-2</v>
      </c>
      <c r="F15" s="41">
        <v>1</v>
      </c>
      <c r="G15" s="53">
        <v>0.23798</v>
      </c>
      <c r="H15" s="58">
        <v>0.27323999999999998</v>
      </c>
    </row>
    <row r="16" spans="1:8" ht="30" x14ac:dyDescent="0.25">
      <c r="A16" s="33" t="s">
        <v>18</v>
      </c>
      <c r="B16" s="56">
        <v>13</v>
      </c>
      <c r="C16" s="52">
        <v>0.30921999999999999</v>
      </c>
      <c r="D16" s="41">
        <v>2</v>
      </c>
      <c r="E16" s="57">
        <v>3.6056999999999999E-2</v>
      </c>
      <c r="F16" s="41">
        <v>1</v>
      </c>
      <c r="G16" s="53">
        <v>0.23798</v>
      </c>
      <c r="H16" s="52">
        <v>0.5</v>
      </c>
    </row>
    <row r="17" spans="1:8" ht="30" x14ac:dyDescent="0.25">
      <c r="A17" s="36" t="s">
        <v>29</v>
      </c>
      <c r="B17" s="50">
        <v>15</v>
      </c>
      <c r="C17" s="45">
        <v>0.35679</v>
      </c>
      <c r="D17" s="43">
        <v>2</v>
      </c>
      <c r="E17" s="51">
        <v>4.7154000000000001E-2</v>
      </c>
      <c r="F17" s="43">
        <v>1</v>
      </c>
      <c r="G17" s="54">
        <v>0.29176000000000002</v>
      </c>
      <c r="H17" s="45">
        <v>0.25483</v>
      </c>
    </row>
    <row r="18" spans="1:8" x14ac:dyDescent="0.25">
      <c r="A18" s="37" t="s">
        <v>138</v>
      </c>
      <c r="B18" s="46" t="s">
        <v>129</v>
      </c>
      <c r="C18" s="48" t="s">
        <v>380</v>
      </c>
      <c r="D18" s="47" t="s">
        <v>131</v>
      </c>
      <c r="E18" s="47" t="s">
        <v>3</v>
      </c>
      <c r="F18" s="47" t="s">
        <v>381</v>
      </c>
      <c r="G18" s="49" t="s">
        <v>5</v>
      </c>
      <c r="H18" s="48" t="s">
        <v>133</v>
      </c>
    </row>
    <row r="19" spans="1:8" ht="30" x14ac:dyDescent="0.25">
      <c r="A19" s="34" t="s">
        <v>31</v>
      </c>
      <c r="B19" s="56">
        <v>36</v>
      </c>
      <c r="C19" s="52">
        <v>0.54271000000000003</v>
      </c>
      <c r="D19" s="41">
        <v>5</v>
      </c>
      <c r="E19" s="57">
        <v>1.3851E-4</v>
      </c>
      <c r="F19" s="53">
        <v>1.108E-2</v>
      </c>
      <c r="G19" s="53">
        <v>1.108E-2</v>
      </c>
      <c r="H19" s="52">
        <v>0.18129999999999999</v>
      </c>
    </row>
    <row r="20" spans="1:8" ht="30" x14ac:dyDescent="0.25">
      <c r="A20" s="38" t="s">
        <v>32</v>
      </c>
      <c r="B20" s="56">
        <v>23</v>
      </c>
      <c r="C20" s="52">
        <v>0.34672999999999998</v>
      </c>
      <c r="D20" s="41">
        <v>4</v>
      </c>
      <c r="E20" s="57">
        <v>2.9107999999999998E-4</v>
      </c>
      <c r="F20" s="53">
        <v>2.2995000000000002E-2</v>
      </c>
      <c r="G20" s="53">
        <v>1.1643000000000001E-2</v>
      </c>
      <c r="H20" s="58">
        <v>0.22542999999999999</v>
      </c>
    </row>
    <row r="21" spans="1:8" ht="45" x14ac:dyDescent="0.25">
      <c r="A21" s="32" t="s">
        <v>33</v>
      </c>
      <c r="B21" s="56">
        <v>42</v>
      </c>
      <c r="C21" s="52">
        <v>0.63317000000000001</v>
      </c>
      <c r="D21" s="41">
        <v>4</v>
      </c>
      <c r="E21" s="57">
        <v>3.0339999999999998E-3</v>
      </c>
      <c r="F21" s="53">
        <v>0.23665</v>
      </c>
      <c r="G21" s="53">
        <v>8.0907999999999994E-2</v>
      </c>
      <c r="H21" s="52">
        <v>6.9790000000000005E-2</v>
      </c>
    </row>
    <row r="22" spans="1:8" ht="45" x14ac:dyDescent="0.25">
      <c r="A22" s="33" t="s">
        <v>35</v>
      </c>
      <c r="B22" s="56">
        <v>2</v>
      </c>
      <c r="C22" s="52">
        <v>3.0151000000000001E-2</v>
      </c>
      <c r="D22" s="41">
        <v>1</v>
      </c>
      <c r="E22" s="57">
        <v>2.9933000000000001E-2</v>
      </c>
      <c r="F22" s="41">
        <v>1</v>
      </c>
      <c r="G22" s="53">
        <v>0.56130999999999998</v>
      </c>
      <c r="H22" s="59">
        <v>0</v>
      </c>
    </row>
    <row r="23" spans="1:8" ht="30" x14ac:dyDescent="0.25">
      <c r="A23" s="33" t="s">
        <v>36</v>
      </c>
      <c r="B23" s="56">
        <v>20</v>
      </c>
      <c r="C23" s="52">
        <v>0.30151</v>
      </c>
      <c r="D23" s="41">
        <v>2</v>
      </c>
      <c r="E23" s="57">
        <v>3.5082000000000002E-2</v>
      </c>
      <c r="F23" s="41">
        <v>1</v>
      </c>
      <c r="G23" s="53">
        <v>0.56130999999999998</v>
      </c>
      <c r="H23" s="52">
        <v>0.15906999999999999</v>
      </c>
    </row>
    <row r="24" spans="1:8" x14ac:dyDescent="0.25">
      <c r="A24" s="33" t="s">
        <v>38</v>
      </c>
      <c r="B24" s="56">
        <v>70</v>
      </c>
      <c r="C24" s="52">
        <v>1.0552999999999999</v>
      </c>
      <c r="D24" s="41">
        <v>3</v>
      </c>
      <c r="E24" s="57">
        <v>8.5109000000000004E-2</v>
      </c>
      <c r="F24" s="41">
        <v>1</v>
      </c>
      <c r="G24" s="41">
        <v>1</v>
      </c>
      <c r="H24" s="52">
        <v>7.3169999999999999E-2</v>
      </c>
    </row>
    <row r="25" spans="1:8" ht="30" x14ac:dyDescent="0.25">
      <c r="A25" s="33" t="s">
        <v>39</v>
      </c>
      <c r="B25" s="56">
        <v>36</v>
      </c>
      <c r="C25" s="52">
        <v>0.54271000000000003</v>
      </c>
      <c r="D25" s="41">
        <v>2</v>
      </c>
      <c r="E25" s="57">
        <v>0.10058</v>
      </c>
      <c r="F25" s="41">
        <v>1</v>
      </c>
      <c r="G25" s="41">
        <v>1</v>
      </c>
      <c r="H25" s="59">
        <v>0</v>
      </c>
    </row>
    <row r="26" spans="1:8" x14ac:dyDescent="0.25">
      <c r="A26" s="33" t="s">
        <v>40</v>
      </c>
      <c r="B26" s="56">
        <v>39</v>
      </c>
      <c r="C26" s="52">
        <v>0.58794000000000002</v>
      </c>
      <c r="D26" s="41">
        <v>2</v>
      </c>
      <c r="E26" s="57">
        <v>0.11514000000000001</v>
      </c>
      <c r="F26" s="41">
        <v>1</v>
      </c>
      <c r="G26" s="41">
        <v>1</v>
      </c>
      <c r="H26" s="52">
        <v>2.9569999999999999E-2</v>
      </c>
    </row>
    <row r="27" spans="1:8" ht="30" x14ac:dyDescent="0.25">
      <c r="A27" s="33" t="s">
        <v>46</v>
      </c>
      <c r="B27" s="56">
        <v>9</v>
      </c>
      <c r="C27" s="52">
        <v>0.13568</v>
      </c>
      <c r="D27" s="41">
        <v>1</v>
      </c>
      <c r="E27" s="57">
        <v>0.12808</v>
      </c>
      <c r="F27" s="41">
        <v>1</v>
      </c>
      <c r="G27" s="41">
        <v>1</v>
      </c>
      <c r="H27" s="52">
        <v>0.23810000000000001</v>
      </c>
    </row>
    <row r="28" spans="1:8" x14ac:dyDescent="0.25">
      <c r="A28" s="36" t="s">
        <v>42</v>
      </c>
      <c r="B28" s="50">
        <v>16</v>
      </c>
      <c r="C28" s="45">
        <v>0.24121000000000001</v>
      </c>
      <c r="D28" s="43">
        <v>1</v>
      </c>
      <c r="E28" s="51">
        <v>0.21667</v>
      </c>
      <c r="F28" s="43">
        <v>1</v>
      </c>
      <c r="G28" s="43">
        <v>1</v>
      </c>
      <c r="H28" s="45">
        <v>4.3610000000000003E-2</v>
      </c>
    </row>
    <row r="29" spans="1:8" x14ac:dyDescent="0.25">
      <c r="A29" s="39" t="s">
        <v>307</v>
      </c>
      <c r="B29" s="50" t="s">
        <v>129</v>
      </c>
      <c r="C29" s="45" t="s">
        <v>380</v>
      </c>
      <c r="D29" s="43" t="s">
        <v>131</v>
      </c>
      <c r="E29" s="51" t="s">
        <v>3</v>
      </c>
      <c r="F29" s="43" t="s">
        <v>381</v>
      </c>
      <c r="G29" s="43" t="s">
        <v>5</v>
      </c>
      <c r="H29" s="45" t="s">
        <v>133</v>
      </c>
    </row>
    <row r="30" spans="1:8" ht="30" x14ac:dyDescent="0.25">
      <c r="A30" s="34" t="s">
        <v>31</v>
      </c>
      <c r="B30" s="56">
        <v>7</v>
      </c>
      <c r="C30" s="52">
        <v>1.5</v>
      </c>
      <c r="D30" s="41">
        <v>5</v>
      </c>
      <c r="E30" s="57">
        <v>4.8276999999999999E-3</v>
      </c>
      <c r="F30" s="53">
        <v>0.30414000000000002</v>
      </c>
      <c r="G30" s="53">
        <v>0.22953999999999999</v>
      </c>
      <c r="H30" s="52">
        <v>0.18129999999999999</v>
      </c>
    </row>
    <row r="31" spans="1:8" ht="30" x14ac:dyDescent="0.25">
      <c r="A31" s="38" t="s">
        <v>32</v>
      </c>
      <c r="B31" s="56">
        <v>5</v>
      </c>
      <c r="C31" s="52">
        <v>1.0713999999999999</v>
      </c>
      <c r="D31" s="41">
        <v>4</v>
      </c>
      <c r="E31" s="57">
        <v>7.2871000000000003E-3</v>
      </c>
      <c r="F31" s="53">
        <v>0.45179999999999998</v>
      </c>
      <c r="G31" s="53">
        <v>0.22953999999999999</v>
      </c>
      <c r="H31" s="58">
        <v>0.22542999999999999</v>
      </c>
    </row>
    <row r="32" spans="1:8" ht="45" x14ac:dyDescent="0.25">
      <c r="A32" s="32" t="s">
        <v>33</v>
      </c>
      <c r="B32" s="56">
        <v>6</v>
      </c>
      <c r="C32" s="52">
        <v>1.2857000000000001</v>
      </c>
      <c r="D32" s="41">
        <v>4</v>
      </c>
      <c r="E32" s="57">
        <v>1.8622E-2</v>
      </c>
      <c r="F32" s="41">
        <v>1</v>
      </c>
      <c r="G32" s="53">
        <v>0.39106000000000002</v>
      </c>
      <c r="H32" s="52">
        <v>6.9790000000000005E-2</v>
      </c>
    </row>
    <row r="33" spans="1:8" ht="30" x14ac:dyDescent="0.25">
      <c r="A33" s="33" t="s">
        <v>36</v>
      </c>
      <c r="B33" s="56">
        <v>3</v>
      </c>
      <c r="C33" s="52">
        <v>0.64285999999999999</v>
      </c>
      <c r="D33" s="41">
        <v>2</v>
      </c>
      <c r="E33" s="57">
        <v>0.11544</v>
      </c>
      <c r="F33" s="41">
        <v>1</v>
      </c>
      <c r="G33" s="41">
        <v>1</v>
      </c>
      <c r="H33" s="52">
        <v>0.15906999999999999</v>
      </c>
    </row>
    <row r="34" spans="1:8" x14ac:dyDescent="0.25">
      <c r="A34" s="33" t="s">
        <v>41</v>
      </c>
      <c r="B34" s="56">
        <v>1</v>
      </c>
      <c r="C34" s="52">
        <v>0.21429000000000001</v>
      </c>
      <c r="D34" s="41">
        <v>1</v>
      </c>
      <c r="E34" s="57">
        <v>0.21429000000000001</v>
      </c>
      <c r="F34" s="41">
        <v>1</v>
      </c>
      <c r="G34" s="41">
        <v>1</v>
      </c>
      <c r="H34" s="59">
        <v>0</v>
      </c>
    </row>
    <row r="35" spans="1:8" ht="45" x14ac:dyDescent="0.25">
      <c r="A35" s="33" t="s">
        <v>35</v>
      </c>
      <c r="B35" s="56">
        <v>1</v>
      </c>
      <c r="C35" s="52">
        <v>0.21429000000000001</v>
      </c>
      <c r="D35" s="41">
        <v>1</v>
      </c>
      <c r="E35" s="57">
        <v>0.21429000000000001</v>
      </c>
      <c r="F35" s="41">
        <v>1</v>
      </c>
      <c r="G35" s="41">
        <v>1</v>
      </c>
      <c r="H35" s="59">
        <v>0</v>
      </c>
    </row>
    <row r="36" spans="1:8" x14ac:dyDescent="0.25">
      <c r="A36" s="33" t="s">
        <v>43</v>
      </c>
      <c r="B36" s="56">
        <v>1</v>
      </c>
      <c r="C36" s="52">
        <v>0.21429000000000001</v>
      </c>
      <c r="D36" s="41">
        <v>1</v>
      </c>
      <c r="E36" s="57">
        <v>0.21429000000000001</v>
      </c>
      <c r="F36" s="41">
        <v>1</v>
      </c>
      <c r="G36" s="41">
        <v>1</v>
      </c>
      <c r="H36" s="59">
        <v>0</v>
      </c>
    </row>
    <row r="37" spans="1:8" x14ac:dyDescent="0.25">
      <c r="A37" s="33" t="s">
        <v>42</v>
      </c>
      <c r="B37" s="56">
        <v>1</v>
      </c>
      <c r="C37" s="52">
        <v>0.21429000000000001</v>
      </c>
      <c r="D37" s="41">
        <v>1</v>
      </c>
      <c r="E37" s="57">
        <v>0.21429000000000001</v>
      </c>
      <c r="F37" s="41">
        <v>1</v>
      </c>
      <c r="G37" s="41">
        <v>1</v>
      </c>
      <c r="H37" s="52">
        <v>4.3610000000000003E-2</v>
      </c>
    </row>
    <row r="38" spans="1:8" x14ac:dyDescent="0.25">
      <c r="A38" s="33" t="s">
        <v>45</v>
      </c>
      <c r="B38" s="56">
        <v>2</v>
      </c>
      <c r="C38" s="52">
        <v>0.42857000000000001</v>
      </c>
      <c r="D38" s="41">
        <v>1</v>
      </c>
      <c r="E38" s="57">
        <v>0.38417000000000001</v>
      </c>
      <c r="F38" s="41">
        <v>1</v>
      </c>
      <c r="G38" s="41">
        <v>1</v>
      </c>
      <c r="H38" s="52">
        <v>9.1109999999999997E-2</v>
      </c>
    </row>
    <row r="39" spans="1:8" ht="45" x14ac:dyDescent="0.25">
      <c r="A39" s="36" t="s">
        <v>44</v>
      </c>
      <c r="B39" s="50">
        <v>2</v>
      </c>
      <c r="C39" s="45">
        <v>0.42857000000000001</v>
      </c>
      <c r="D39" s="43">
        <v>1</v>
      </c>
      <c r="E39" s="51">
        <v>0.38417000000000001</v>
      </c>
      <c r="F39" s="43">
        <v>1</v>
      </c>
      <c r="G39" s="43">
        <v>1</v>
      </c>
      <c r="H39" s="45">
        <v>9.6390000000000003E-2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CAF5-15C2-4B4C-8B24-749915194AB5}">
  <dimension ref="A1:G20"/>
  <sheetViews>
    <sheetView workbookViewId="0">
      <selection activeCell="L15" sqref="L15"/>
    </sheetView>
  </sheetViews>
  <sheetFormatPr defaultRowHeight="15" x14ac:dyDescent="0.25"/>
  <cols>
    <col min="1" max="1" width="44.5703125" bestFit="1" customWidth="1"/>
    <col min="2" max="2" width="10.140625" bestFit="1" customWidth="1"/>
    <col min="3" max="3" width="7.28515625" bestFit="1" customWidth="1"/>
    <col min="4" max="4" width="9" bestFit="1" customWidth="1"/>
    <col min="5" max="5" width="10.28515625" bestFit="1" customWidth="1"/>
    <col min="6" max="6" width="29.28515625" customWidth="1"/>
    <col min="7" max="7" width="9.28515625" bestFit="1" customWidth="1"/>
  </cols>
  <sheetData>
    <row r="1" spans="1:7" x14ac:dyDescent="0.25">
      <c r="A1" s="13" t="s">
        <v>313</v>
      </c>
      <c r="B1" s="13" t="s">
        <v>314</v>
      </c>
      <c r="C1" s="12" t="s">
        <v>308</v>
      </c>
      <c r="D1" s="13" t="s">
        <v>309</v>
      </c>
      <c r="E1" s="13" t="s">
        <v>310</v>
      </c>
      <c r="F1" s="13" t="s">
        <v>311</v>
      </c>
      <c r="G1" s="13" t="s">
        <v>312</v>
      </c>
    </row>
    <row r="2" spans="1:7" ht="45" x14ac:dyDescent="0.25">
      <c r="A2" s="17" t="s">
        <v>53</v>
      </c>
      <c r="B2" s="18" t="s">
        <v>354</v>
      </c>
      <c r="C2" s="24">
        <v>2.1358570000000001E-8</v>
      </c>
      <c r="D2" s="25">
        <v>2.5000000000000001E-5</v>
      </c>
      <c r="E2" s="18" t="s">
        <v>352</v>
      </c>
      <c r="F2" s="19" t="s">
        <v>353</v>
      </c>
      <c r="G2" s="18" t="s">
        <v>337</v>
      </c>
    </row>
    <row r="3" spans="1:7" ht="45" x14ac:dyDescent="0.25">
      <c r="A3" s="18" t="s">
        <v>58</v>
      </c>
      <c r="B3" s="18" t="s">
        <v>364</v>
      </c>
      <c r="C3" s="24">
        <v>1.8628679999999999E-7</v>
      </c>
      <c r="D3" s="25">
        <v>4.1999999999999998E-5</v>
      </c>
      <c r="E3" s="18" t="s">
        <v>362</v>
      </c>
      <c r="F3" s="19" t="s">
        <v>363</v>
      </c>
      <c r="G3" s="18" t="s">
        <v>337</v>
      </c>
    </row>
    <row r="4" spans="1:7" ht="45" x14ac:dyDescent="0.25">
      <c r="A4" s="18" t="s">
        <v>62</v>
      </c>
      <c r="B4" s="18" t="s">
        <v>341</v>
      </c>
      <c r="C4" s="24">
        <v>2.2319300000000001E-7</v>
      </c>
      <c r="D4" s="25">
        <v>4.1999999999999998E-5</v>
      </c>
      <c r="E4" s="18" t="s">
        <v>339</v>
      </c>
      <c r="F4" s="19" t="s">
        <v>340</v>
      </c>
      <c r="G4" s="18" t="s">
        <v>337</v>
      </c>
    </row>
    <row r="5" spans="1:7" ht="45" x14ac:dyDescent="0.25">
      <c r="A5" s="18" t="s">
        <v>126</v>
      </c>
      <c r="B5" s="18" t="s">
        <v>328</v>
      </c>
      <c r="C5" s="24">
        <v>3.0250229999999999E-7</v>
      </c>
      <c r="D5" s="25">
        <v>4.1999999999999998E-5</v>
      </c>
      <c r="E5" s="18" t="s">
        <v>326</v>
      </c>
      <c r="F5" s="19" t="s">
        <v>327</v>
      </c>
      <c r="G5" s="18" t="s">
        <v>321</v>
      </c>
    </row>
    <row r="6" spans="1:7" ht="45" x14ac:dyDescent="0.25">
      <c r="A6" s="18" t="s">
        <v>73</v>
      </c>
      <c r="B6" s="18" t="s">
        <v>366</v>
      </c>
      <c r="C6" s="24">
        <v>3.1303030000000002E-7</v>
      </c>
      <c r="D6" s="25">
        <v>4.1999999999999998E-5</v>
      </c>
      <c r="E6" s="18" t="s">
        <v>331</v>
      </c>
      <c r="F6" s="19" t="s">
        <v>365</v>
      </c>
      <c r="G6" s="18" t="s">
        <v>337</v>
      </c>
    </row>
    <row r="7" spans="1:7" ht="45" x14ac:dyDescent="0.25">
      <c r="A7" s="18" t="s">
        <v>76</v>
      </c>
      <c r="B7" s="18" t="s">
        <v>325</v>
      </c>
      <c r="C7" s="24">
        <v>6.8071259999999997E-7</v>
      </c>
      <c r="D7" s="25">
        <v>7.8999999999999996E-5</v>
      </c>
      <c r="E7" s="18" t="s">
        <v>323</v>
      </c>
      <c r="F7" s="19" t="s">
        <v>324</v>
      </c>
      <c r="G7" s="18" t="s">
        <v>321</v>
      </c>
    </row>
    <row r="8" spans="1:7" ht="45" x14ac:dyDescent="0.25">
      <c r="A8" s="20" t="s">
        <v>78</v>
      </c>
      <c r="B8" s="18" t="s">
        <v>325</v>
      </c>
      <c r="C8" s="24">
        <v>8.8350489999999998E-7</v>
      </c>
      <c r="D8" s="25">
        <v>9.2999999999999997E-5</v>
      </c>
      <c r="E8" s="18" t="s">
        <v>323</v>
      </c>
      <c r="F8" s="19" t="s">
        <v>346</v>
      </c>
      <c r="G8" s="18" t="s">
        <v>337</v>
      </c>
    </row>
    <row r="9" spans="1:7" ht="30" x14ac:dyDescent="0.25">
      <c r="A9" s="18" t="s">
        <v>85</v>
      </c>
      <c r="B9" s="18" t="s">
        <v>357</v>
      </c>
      <c r="C9" s="24">
        <v>1.2602170000000001E-6</v>
      </c>
      <c r="D9" s="25">
        <v>1.1900000000000001E-4</v>
      </c>
      <c r="E9" s="18" t="s">
        <v>355</v>
      </c>
      <c r="F9" s="19" t="s">
        <v>356</v>
      </c>
      <c r="G9" s="18" t="s">
        <v>337</v>
      </c>
    </row>
    <row r="10" spans="1:7" ht="45" x14ac:dyDescent="0.25">
      <c r="A10" s="21" t="s">
        <v>89</v>
      </c>
      <c r="B10" s="18" t="s">
        <v>330</v>
      </c>
      <c r="C10" s="24">
        <v>1.3333640000000001E-6</v>
      </c>
      <c r="D10" s="25">
        <v>1.1900000000000001E-4</v>
      </c>
      <c r="E10" s="18" t="s">
        <v>329</v>
      </c>
      <c r="F10" s="19" t="s">
        <v>324</v>
      </c>
      <c r="G10" s="18" t="s">
        <v>321</v>
      </c>
    </row>
    <row r="11" spans="1:7" ht="60" x14ac:dyDescent="0.25">
      <c r="A11" s="18" t="s">
        <v>95</v>
      </c>
      <c r="B11" s="18" t="s">
        <v>373</v>
      </c>
      <c r="C11" s="24">
        <v>1.516691E-6</v>
      </c>
      <c r="D11" s="25">
        <v>1.26E-4</v>
      </c>
      <c r="E11" s="18" t="s">
        <v>371</v>
      </c>
      <c r="F11" s="19" t="s">
        <v>372</v>
      </c>
      <c r="G11" s="18" t="s">
        <v>337</v>
      </c>
    </row>
    <row r="12" spans="1:7" ht="45" x14ac:dyDescent="0.25">
      <c r="A12" s="18" t="s">
        <v>108</v>
      </c>
      <c r="B12" s="18" t="s">
        <v>351</v>
      </c>
      <c r="C12" s="24">
        <v>5.8272020000000004E-6</v>
      </c>
      <c r="D12" s="25">
        <v>4.2200000000000001E-4</v>
      </c>
      <c r="E12" s="18" t="s">
        <v>349</v>
      </c>
      <c r="F12" s="19" t="s">
        <v>350</v>
      </c>
      <c r="G12" s="18" t="s">
        <v>337</v>
      </c>
    </row>
    <row r="13" spans="1:7" ht="45" x14ac:dyDescent="0.25">
      <c r="A13" s="18" t="s">
        <v>360</v>
      </c>
      <c r="B13" s="18" t="s">
        <v>361</v>
      </c>
      <c r="C13" s="24">
        <v>7.8775069999999995E-6</v>
      </c>
      <c r="D13" s="25">
        <v>5.3799999999999996E-4</v>
      </c>
      <c r="E13" s="18" t="s">
        <v>358</v>
      </c>
      <c r="F13" s="19" t="s">
        <v>359</v>
      </c>
      <c r="G13" s="18" t="s">
        <v>337</v>
      </c>
    </row>
    <row r="14" spans="1:7" ht="45" x14ac:dyDescent="0.25">
      <c r="A14" s="18" t="s">
        <v>114</v>
      </c>
      <c r="B14" s="18" t="s">
        <v>348</v>
      </c>
      <c r="C14" s="24">
        <v>8.4650930000000005E-6</v>
      </c>
      <c r="D14" s="25">
        <v>5.4600000000000004E-4</v>
      </c>
      <c r="E14" s="18" t="s">
        <v>347</v>
      </c>
      <c r="F14" s="19" t="s">
        <v>320</v>
      </c>
      <c r="G14" s="18" t="s">
        <v>337</v>
      </c>
    </row>
    <row r="15" spans="1:7" ht="30" x14ac:dyDescent="0.25">
      <c r="A15" s="18" t="s">
        <v>344</v>
      </c>
      <c r="B15" s="18" t="s">
        <v>345</v>
      </c>
      <c r="C15" s="24">
        <v>1.2E-5</v>
      </c>
      <c r="D15" s="25">
        <v>6.8400000000000004E-4</v>
      </c>
      <c r="E15" s="18" t="s">
        <v>342</v>
      </c>
      <c r="F15" s="19" t="s">
        <v>343</v>
      </c>
      <c r="G15" s="18" t="s">
        <v>337</v>
      </c>
    </row>
    <row r="16" spans="1:7" ht="90" x14ac:dyDescent="0.25">
      <c r="A16" s="22" t="s">
        <v>21</v>
      </c>
      <c r="B16" s="18" t="s">
        <v>318</v>
      </c>
      <c r="C16" s="24">
        <v>1.7E-5</v>
      </c>
      <c r="D16" s="25">
        <v>7.3800000000000005E-4</v>
      </c>
      <c r="E16" s="18" t="s">
        <v>315</v>
      </c>
      <c r="F16" s="19" t="s">
        <v>316</v>
      </c>
      <c r="G16" s="18" t="s">
        <v>317</v>
      </c>
    </row>
    <row r="17" spans="1:7" x14ac:dyDescent="0.25">
      <c r="A17" s="18" t="s">
        <v>71</v>
      </c>
      <c r="B17" s="18" t="s">
        <v>333</v>
      </c>
      <c r="C17" s="24">
        <v>2.0999999999999999E-5</v>
      </c>
      <c r="D17" s="25">
        <v>8.0000000000000004E-4</v>
      </c>
      <c r="E17" s="18" t="s">
        <v>331</v>
      </c>
      <c r="F17" s="19" t="s">
        <v>332</v>
      </c>
      <c r="G17" s="18" t="s">
        <v>321</v>
      </c>
    </row>
    <row r="18" spans="1:7" ht="30" x14ac:dyDescent="0.25">
      <c r="A18" s="18" t="s">
        <v>336</v>
      </c>
      <c r="B18" s="18" t="s">
        <v>338</v>
      </c>
      <c r="C18" s="24">
        <v>2.4000000000000001E-5</v>
      </c>
      <c r="D18" s="25">
        <v>8.0000000000000004E-4</v>
      </c>
      <c r="E18" s="18" t="s">
        <v>334</v>
      </c>
      <c r="F18" s="19" t="s">
        <v>335</v>
      </c>
      <c r="G18" s="18" t="s">
        <v>337</v>
      </c>
    </row>
    <row r="19" spans="1:7" ht="45" x14ac:dyDescent="0.25">
      <c r="A19" s="23" t="s">
        <v>32</v>
      </c>
      <c r="B19" s="18" t="s">
        <v>322</v>
      </c>
      <c r="C19" s="24">
        <v>3.1999999999999999E-5</v>
      </c>
      <c r="D19" s="25">
        <v>8.0199999999999998E-4</v>
      </c>
      <c r="E19" s="18" t="s">
        <v>319</v>
      </c>
      <c r="F19" s="19" t="s">
        <v>320</v>
      </c>
      <c r="G19" s="18" t="s">
        <v>321</v>
      </c>
    </row>
    <row r="20" spans="1:7" ht="30" x14ac:dyDescent="0.25">
      <c r="A20" s="18" t="s">
        <v>369</v>
      </c>
      <c r="B20" s="18" t="s">
        <v>370</v>
      </c>
      <c r="C20" s="24">
        <v>3.6999999999999998E-5</v>
      </c>
      <c r="D20" s="25">
        <v>8.0199999999999998E-4</v>
      </c>
      <c r="E20" s="18" t="s">
        <v>367</v>
      </c>
      <c r="F20" s="19" t="s">
        <v>368</v>
      </c>
      <c r="G20" s="18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9046-7E31-4977-8578-5C11853CAC89}">
  <dimension ref="A1:S79"/>
  <sheetViews>
    <sheetView topLeftCell="B1" workbookViewId="0">
      <selection activeCell="V24" sqref="V24"/>
    </sheetView>
  </sheetViews>
  <sheetFormatPr defaultRowHeight="15" x14ac:dyDescent="0.25"/>
  <cols>
    <col min="1" max="1" width="11.28515625" bestFit="1" customWidth="1"/>
    <col min="2" max="2" width="59.28515625" bestFit="1" customWidth="1"/>
    <col min="11" max="11" width="12.42578125" style="27" bestFit="1" customWidth="1"/>
    <col min="12" max="12" width="40.140625" style="27" customWidth="1"/>
    <col min="13" max="19" width="9.140625" style="27"/>
  </cols>
  <sheetData>
    <row r="1" spans="1:18" ht="46.5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K1" s="26" t="s">
        <v>139</v>
      </c>
      <c r="L1" s="26" t="s">
        <v>140</v>
      </c>
      <c r="M1" s="26" t="s">
        <v>375</v>
      </c>
      <c r="N1" s="26" t="s">
        <v>376</v>
      </c>
      <c r="O1" s="26" t="s">
        <v>377</v>
      </c>
      <c r="P1" s="26" t="s">
        <v>144</v>
      </c>
      <c r="Q1" s="26" t="s">
        <v>378</v>
      </c>
      <c r="R1" s="26" t="s">
        <v>379</v>
      </c>
    </row>
    <row r="2" spans="1:18" x14ac:dyDescent="0.25">
      <c r="A2" s="7" t="s">
        <v>147</v>
      </c>
      <c r="B2" s="8" t="s">
        <v>148</v>
      </c>
      <c r="C2" s="7">
        <v>64</v>
      </c>
      <c r="D2" s="7">
        <v>1856</v>
      </c>
      <c r="E2" s="7">
        <v>29</v>
      </c>
      <c r="F2" s="7">
        <v>11</v>
      </c>
      <c r="G2" s="7">
        <v>7.2596086141693097E-10</v>
      </c>
      <c r="H2" s="7">
        <v>3.2813430936045299E-7</v>
      </c>
      <c r="K2" s="28" t="s">
        <v>147</v>
      </c>
      <c r="L2" s="29" t="s">
        <v>148</v>
      </c>
      <c r="M2" s="28">
        <v>64</v>
      </c>
      <c r="N2" s="28">
        <v>1856</v>
      </c>
      <c r="O2" s="28">
        <v>29</v>
      </c>
      <c r="P2" s="28">
        <v>11</v>
      </c>
      <c r="Q2" s="28">
        <v>7.2596086141693097E-10</v>
      </c>
      <c r="R2" s="28">
        <v>3.2813430936045299E-7</v>
      </c>
    </row>
    <row r="3" spans="1:18" x14ac:dyDescent="0.25">
      <c r="A3" s="7" t="s">
        <v>149</v>
      </c>
      <c r="B3" s="7" t="s">
        <v>150</v>
      </c>
      <c r="C3" s="7">
        <v>70</v>
      </c>
      <c r="D3" s="7">
        <v>1856</v>
      </c>
      <c r="E3" s="7">
        <v>29</v>
      </c>
      <c r="F3" s="7">
        <v>8</v>
      </c>
      <c r="G3" s="7">
        <v>6.2339158964215901E-6</v>
      </c>
      <c r="H3" s="7">
        <v>1.28803412906164E-3</v>
      </c>
      <c r="K3" s="28" t="s">
        <v>149</v>
      </c>
      <c r="L3" s="28" t="s">
        <v>150</v>
      </c>
      <c r="M3" s="28">
        <v>70</v>
      </c>
      <c r="N3" s="28">
        <v>1856</v>
      </c>
      <c r="O3" s="28">
        <v>29</v>
      </c>
      <c r="P3" s="28">
        <v>8</v>
      </c>
      <c r="Q3" s="28">
        <v>6.2339158964215901E-6</v>
      </c>
      <c r="R3" s="28">
        <v>1.28803412906164E-3</v>
      </c>
    </row>
    <row r="4" spans="1:18" x14ac:dyDescent="0.25">
      <c r="A4" s="7" t="s">
        <v>151</v>
      </c>
      <c r="B4" s="7" t="s">
        <v>152</v>
      </c>
      <c r="C4" s="7">
        <v>75</v>
      </c>
      <c r="D4" s="7">
        <v>1856</v>
      </c>
      <c r="E4" s="7">
        <v>29</v>
      </c>
      <c r="F4" s="7">
        <v>8</v>
      </c>
      <c r="G4" s="7">
        <v>1.05770566323855E-5</v>
      </c>
      <c r="H4" s="7">
        <v>1.28803412906164E-3</v>
      </c>
      <c r="K4" s="28" t="s">
        <v>151</v>
      </c>
      <c r="L4" s="28" t="s">
        <v>152</v>
      </c>
      <c r="M4" s="28">
        <v>75</v>
      </c>
      <c r="N4" s="28">
        <v>1856</v>
      </c>
      <c r="O4" s="28">
        <v>29</v>
      </c>
      <c r="P4" s="28">
        <v>8</v>
      </c>
      <c r="Q4" s="28">
        <v>1.05770566323855E-5</v>
      </c>
      <c r="R4" s="28">
        <v>1.28803412906164E-3</v>
      </c>
    </row>
    <row r="5" spans="1:18" x14ac:dyDescent="0.25">
      <c r="A5" s="7" t="s">
        <v>153</v>
      </c>
      <c r="B5" s="7" t="s">
        <v>154</v>
      </c>
      <c r="C5" s="7">
        <v>78</v>
      </c>
      <c r="D5" s="7">
        <v>1856</v>
      </c>
      <c r="E5" s="7">
        <v>29</v>
      </c>
      <c r="F5" s="7">
        <v>8</v>
      </c>
      <c r="G5" s="7">
        <v>1.42481651444872E-5</v>
      </c>
      <c r="H5" s="7">
        <v>1.28803412906164E-3</v>
      </c>
      <c r="K5" s="28" t="s">
        <v>153</v>
      </c>
      <c r="L5" s="28" t="s">
        <v>154</v>
      </c>
      <c r="M5" s="28">
        <v>78</v>
      </c>
      <c r="N5" s="28">
        <v>1856</v>
      </c>
      <c r="O5" s="28">
        <v>29</v>
      </c>
      <c r="P5" s="28">
        <v>8</v>
      </c>
      <c r="Q5" s="28">
        <v>1.42481651444872E-5</v>
      </c>
      <c r="R5" s="28">
        <v>1.28803412906164E-3</v>
      </c>
    </row>
    <row r="6" spans="1:18" x14ac:dyDescent="0.25">
      <c r="A6" s="7" t="s">
        <v>155</v>
      </c>
      <c r="B6" s="7" t="s">
        <v>156</v>
      </c>
      <c r="C6" s="7">
        <v>78</v>
      </c>
      <c r="D6" s="7">
        <v>1856</v>
      </c>
      <c r="E6" s="7">
        <v>29</v>
      </c>
      <c r="F6" s="7">
        <v>8</v>
      </c>
      <c r="G6" s="7">
        <v>1.42481651444872E-5</v>
      </c>
      <c r="H6" s="7">
        <v>1.28803412906164E-3</v>
      </c>
      <c r="K6" s="28" t="s">
        <v>155</v>
      </c>
      <c r="L6" s="28" t="s">
        <v>156</v>
      </c>
      <c r="M6" s="28">
        <v>78</v>
      </c>
      <c r="N6" s="28">
        <v>1856</v>
      </c>
      <c r="O6" s="28">
        <v>29</v>
      </c>
      <c r="P6" s="28">
        <v>8</v>
      </c>
      <c r="Q6" s="28">
        <v>1.42481651444872E-5</v>
      </c>
      <c r="R6" s="28">
        <v>1.28803412906164E-3</v>
      </c>
    </row>
    <row r="7" spans="1:18" x14ac:dyDescent="0.25">
      <c r="A7" s="7" t="s">
        <v>157</v>
      </c>
      <c r="B7" s="7" t="s">
        <v>158</v>
      </c>
      <c r="C7" s="7">
        <v>32</v>
      </c>
      <c r="D7" s="7">
        <v>1856</v>
      </c>
      <c r="E7" s="7">
        <v>29</v>
      </c>
      <c r="F7" s="7">
        <v>5</v>
      </c>
      <c r="G7" s="7">
        <v>9.7649301238212393E-5</v>
      </c>
      <c r="H7" s="7">
        <v>7.3562473599453303E-3</v>
      </c>
      <c r="K7" s="28" t="s">
        <v>157</v>
      </c>
      <c r="L7" s="28" t="s">
        <v>158</v>
      </c>
      <c r="M7" s="28">
        <v>32</v>
      </c>
      <c r="N7" s="28">
        <v>1856</v>
      </c>
      <c r="O7" s="28">
        <v>29</v>
      </c>
      <c r="P7" s="28">
        <v>5</v>
      </c>
      <c r="Q7" s="28">
        <v>9.7649301238212393E-5</v>
      </c>
      <c r="R7" s="28">
        <v>7.3562473599453303E-3</v>
      </c>
    </row>
    <row r="8" spans="1:18" x14ac:dyDescent="0.25">
      <c r="A8" s="7" t="s">
        <v>159</v>
      </c>
      <c r="B8" s="7" t="s">
        <v>160</v>
      </c>
      <c r="C8" s="7">
        <v>35</v>
      </c>
      <c r="D8" s="7">
        <v>1856</v>
      </c>
      <c r="E8" s="7">
        <v>29</v>
      </c>
      <c r="F8" s="7">
        <v>5</v>
      </c>
      <c r="G8" s="7">
        <v>1.5235066597533601E-4</v>
      </c>
      <c r="H8" s="7">
        <v>7.65138900231688E-3</v>
      </c>
      <c r="K8" s="28" t="s">
        <v>159</v>
      </c>
      <c r="L8" s="28" t="s">
        <v>160</v>
      </c>
      <c r="M8" s="28">
        <v>35</v>
      </c>
      <c r="N8" s="28">
        <v>1856</v>
      </c>
      <c r="O8" s="28">
        <v>29</v>
      </c>
      <c r="P8" s="28">
        <v>5</v>
      </c>
      <c r="Q8" s="28">
        <v>1.5235066597533601E-4</v>
      </c>
      <c r="R8" s="28">
        <v>7.65138900231688E-3</v>
      </c>
    </row>
    <row r="9" spans="1:18" x14ac:dyDescent="0.25">
      <c r="A9" s="7" t="s">
        <v>161</v>
      </c>
      <c r="B9" s="7" t="s">
        <v>162</v>
      </c>
      <c r="C9" s="7">
        <v>55</v>
      </c>
      <c r="D9" s="7">
        <v>1856</v>
      </c>
      <c r="E9" s="7">
        <v>29</v>
      </c>
      <c r="F9" s="7">
        <v>6</v>
      </c>
      <c r="G9" s="7">
        <v>1.4422228314404101E-4</v>
      </c>
      <c r="H9" s="7">
        <v>7.65138900231688E-3</v>
      </c>
      <c r="K9" s="28" t="s">
        <v>161</v>
      </c>
      <c r="L9" s="28" t="s">
        <v>162</v>
      </c>
      <c r="M9" s="28">
        <v>55</v>
      </c>
      <c r="N9" s="28">
        <v>1856</v>
      </c>
      <c r="O9" s="28">
        <v>29</v>
      </c>
      <c r="P9" s="28">
        <v>6</v>
      </c>
      <c r="Q9" s="28">
        <v>1.4422228314404101E-4</v>
      </c>
      <c r="R9" s="28">
        <v>7.65138900231688E-3</v>
      </c>
    </row>
    <row r="10" spans="1:18" x14ac:dyDescent="0.25">
      <c r="A10" s="7" t="s">
        <v>163</v>
      </c>
      <c r="B10" s="7" t="s">
        <v>164</v>
      </c>
      <c r="C10" s="7">
        <v>78</v>
      </c>
      <c r="D10" s="7">
        <v>1856</v>
      </c>
      <c r="E10" s="7">
        <v>29</v>
      </c>
      <c r="F10" s="7">
        <v>7</v>
      </c>
      <c r="G10" s="7">
        <v>1.3073194805831399E-4</v>
      </c>
      <c r="H10" s="7">
        <v>7.65138900231688E-3</v>
      </c>
      <c r="K10" s="28" t="s">
        <v>163</v>
      </c>
      <c r="L10" s="28" t="s">
        <v>164</v>
      </c>
      <c r="M10" s="28">
        <v>78</v>
      </c>
      <c r="N10" s="28">
        <v>1856</v>
      </c>
      <c r="O10" s="28">
        <v>29</v>
      </c>
      <c r="P10" s="28">
        <v>7</v>
      </c>
      <c r="Q10" s="28">
        <v>1.3073194805831399E-4</v>
      </c>
      <c r="R10" s="28">
        <v>7.65138900231688E-3</v>
      </c>
    </row>
    <row r="11" spans="1:18" x14ac:dyDescent="0.25">
      <c r="A11" s="7" t="s">
        <v>165</v>
      </c>
      <c r="B11" s="7" t="s">
        <v>166</v>
      </c>
      <c r="C11" s="7">
        <v>23</v>
      </c>
      <c r="D11" s="7">
        <v>1856</v>
      </c>
      <c r="E11" s="7">
        <v>29</v>
      </c>
      <c r="F11" s="7">
        <v>4</v>
      </c>
      <c r="G11" s="7">
        <v>3.4721036423996499E-4</v>
      </c>
      <c r="H11" s="7">
        <v>1.33657995909748E-2</v>
      </c>
      <c r="K11" s="28" t="s">
        <v>165</v>
      </c>
      <c r="L11" s="28" t="s">
        <v>166</v>
      </c>
      <c r="M11" s="28">
        <v>23</v>
      </c>
      <c r="N11" s="28">
        <v>1856</v>
      </c>
      <c r="O11" s="28">
        <v>29</v>
      </c>
      <c r="P11" s="28">
        <v>4</v>
      </c>
      <c r="Q11" s="28">
        <v>3.4721036423996499E-4</v>
      </c>
      <c r="R11" s="28">
        <v>1.33657995909748E-2</v>
      </c>
    </row>
    <row r="12" spans="1:18" x14ac:dyDescent="0.25">
      <c r="A12" s="7" t="s">
        <v>167</v>
      </c>
      <c r="B12" s="7" t="s">
        <v>168</v>
      </c>
      <c r="C12" s="7">
        <v>23</v>
      </c>
      <c r="D12" s="7">
        <v>1856</v>
      </c>
      <c r="E12" s="7">
        <v>29</v>
      </c>
      <c r="F12" s="7">
        <v>4</v>
      </c>
      <c r="G12" s="7">
        <v>3.4721036423996499E-4</v>
      </c>
      <c r="H12" s="7">
        <v>1.33657995909748E-2</v>
      </c>
      <c r="K12" s="28" t="s">
        <v>167</v>
      </c>
      <c r="L12" s="28" t="s">
        <v>168</v>
      </c>
      <c r="M12" s="28">
        <v>23</v>
      </c>
      <c r="N12" s="28">
        <v>1856</v>
      </c>
      <c r="O12" s="28">
        <v>29</v>
      </c>
      <c r="P12" s="28">
        <v>4</v>
      </c>
      <c r="Q12" s="28">
        <v>3.4721036423996499E-4</v>
      </c>
      <c r="R12" s="28">
        <v>1.33657995909748E-2</v>
      </c>
    </row>
    <row r="13" spans="1:18" x14ac:dyDescent="0.25">
      <c r="A13" s="7" t="s">
        <v>169</v>
      </c>
      <c r="B13" s="7" t="s">
        <v>170</v>
      </c>
      <c r="C13" s="7">
        <v>42</v>
      </c>
      <c r="D13" s="7">
        <v>1856</v>
      </c>
      <c r="E13" s="7">
        <v>29</v>
      </c>
      <c r="F13" s="7">
        <v>5</v>
      </c>
      <c r="G13" s="7">
        <v>3.69862873703603E-4</v>
      </c>
      <c r="H13" s="7">
        <v>1.33657995909748E-2</v>
      </c>
      <c r="K13" s="28" t="s">
        <v>169</v>
      </c>
      <c r="L13" s="28" t="s">
        <v>170</v>
      </c>
      <c r="M13" s="28">
        <v>42</v>
      </c>
      <c r="N13" s="28">
        <v>1856</v>
      </c>
      <c r="O13" s="28">
        <v>29</v>
      </c>
      <c r="P13" s="28">
        <v>5</v>
      </c>
      <c r="Q13" s="28">
        <v>3.69862873703603E-4</v>
      </c>
      <c r="R13" s="28">
        <v>1.33657995909748E-2</v>
      </c>
    </row>
    <row r="14" spans="1:18" x14ac:dyDescent="0.25">
      <c r="A14" s="7" t="s">
        <v>171</v>
      </c>
      <c r="B14" s="7" t="s">
        <v>172</v>
      </c>
      <c r="C14" s="7">
        <v>43</v>
      </c>
      <c r="D14" s="7">
        <v>1856</v>
      </c>
      <c r="E14" s="7">
        <v>29</v>
      </c>
      <c r="F14" s="7">
        <v>5</v>
      </c>
      <c r="G14" s="7">
        <v>4.1398494308329001E-4</v>
      </c>
      <c r="H14" s="7">
        <v>1.33657995909748E-2</v>
      </c>
      <c r="K14" s="28" t="s">
        <v>171</v>
      </c>
      <c r="L14" s="28" t="s">
        <v>172</v>
      </c>
      <c r="M14" s="28">
        <v>43</v>
      </c>
      <c r="N14" s="28">
        <v>1856</v>
      </c>
      <c r="O14" s="28">
        <v>29</v>
      </c>
      <c r="P14" s="28">
        <v>5</v>
      </c>
      <c r="Q14" s="28">
        <v>4.1398494308329001E-4</v>
      </c>
      <c r="R14" s="28">
        <v>1.33657995909748E-2</v>
      </c>
    </row>
    <row r="15" spans="1:18" x14ac:dyDescent="0.25">
      <c r="A15" s="7" t="s">
        <v>173</v>
      </c>
      <c r="B15" s="7" t="s">
        <v>174</v>
      </c>
      <c r="C15" s="7">
        <v>66</v>
      </c>
      <c r="D15" s="7">
        <v>1856</v>
      </c>
      <c r="E15" s="7">
        <v>29</v>
      </c>
      <c r="F15" s="7">
        <v>6</v>
      </c>
      <c r="G15" s="7">
        <v>4.0117348918707198E-4</v>
      </c>
      <c r="H15" s="7">
        <v>1.33657995909748E-2</v>
      </c>
      <c r="K15" s="28" t="s">
        <v>173</v>
      </c>
      <c r="L15" s="28" t="s">
        <v>174</v>
      </c>
      <c r="M15" s="28">
        <v>66</v>
      </c>
      <c r="N15" s="28">
        <v>1856</v>
      </c>
      <c r="O15" s="28">
        <v>29</v>
      </c>
      <c r="P15" s="28">
        <v>6</v>
      </c>
      <c r="Q15" s="28">
        <v>4.0117348918707198E-4</v>
      </c>
      <c r="R15" s="28">
        <v>1.33657995909748E-2</v>
      </c>
    </row>
    <row r="16" spans="1:18" x14ac:dyDescent="0.25">
      <c r="A16" s="7" t="s">
        <v>175</v>
      </c>
      <c r="B16" s="7" t="s">
        <v>176</v>
      </c>
      <c r="C16" s="7">
        <v>46</v>
      </c>
      <c r="D16" s="7">
        <v>1856</v>
      </c>
      <c r="E16" s="7">
        <v>29</v>
      </c>
      <c r="F16" s="7">
        <v>5</v>
      </c>
      <c r="G16" s="7">
        <v>5.7052262221241295E-4</v>
      </c>
      <c r="H16" s="7">
        <v>1.58578489592319E-2</v>
      </c>
      <c r="K16" s="28" t="s">
        <v>175</v>
      </c>
      <c r="L16" s="28" t="s">
        <v>176</v>
      </c>
      <c r="M16" s="28">
        <v>46</v>
      </c>
      <c r="N16" s="28">
        <v>1856</v>
      </c>
      <c r="O16" s="28">
        <v>29</v>
      </c>
      <c r="P16" s="28">
        <v>5</v>
      </c>
      <c r="Q16" s="28">
        <v>5.7052262221241295E-4</v>
      </c>
      <c r="R16" s="28">
        <v>1.58578489592319E-2</v>
      </c>
    </row>
    <row r="17" spans="1:18" x14ac:dyDescent="0.25">
      <c r="A17" s="7" t="s">
        <v>177</v>
      </c>
      <c r="B17" s="7" t="s">
        <v>178</v>
      </c>
      <c r="C17" s="7">
        <v>47</v>
      </c>
      <c r="D17" s="7">
        <v>1856</v>
      </c>
      <c r="E17" s="7">
        <v>29</v>
      </c>
      <c r="F17" s="7">
        <v>5</v>
      </c>
      <c r="G17" s="7">
        <v>6.3150725943844003E-4</v>
      </c>
      <c r="H17" s="7">
        <v>1.58578489592319E-2</v>
      </c>
      <c r="K17" s="28" t="s">
        <v>177</v>
      </c>
      <c r="L17" s="28" t="s">
        <v>178</v>
      </c>
      <c r="M17" s="28">
        <v>47</v>
      </c>
      <c r="N17" s="28">
        <v>1856</v>
      </c>
      <c r="O17" s="28">
        <v>29</v>
      </c>
      <c r="P17" s="28">
        <v>5</v>
      </c>
      <c r="Q17" s="28">
        <v>6.3150725943844003E-4</v>
      </c>
      <c r="R17" s="28">
        <v>1.58578489592319E-2</v>
      </c>
    </row>
    <row r="18" spans="1:18" x14ac:dyDescent="0.25">
      <c r="A18" s="7" t="s">
        <v>179</v>
      </c>
      <c r="B18" s="7" t="s">
        <v>180</v>
      </c>
      <c r="C18" s="7">
        <v>47</v>
      </c>
      <c r="D18" s="7">
        <v>1856</v>
      </c>
      <c r="E18" s="7">
        <v>29</v>
      </c>
      <c r="F18" s="7">
        <v>5</v>
      </c>
      <c r="G18" s="7">
        <v>6.3150725943844003E-4</v>
      </c>
      <c r="H18" s="7">
        <v>1.58578489592319E-2</v>
      </c>
      <c r="K18" s="28" t="s">
        <v>179</v>
      </c>
      <c r="L18" s="28" t="s">
        <v>180</v>
      </c>
      <c r="M18" s="28">
        <v>47</v>
      </c>
      <c r="N18" s="28">
        <v>1856</v>
      </c>
      <c r="O18" s="28">
        <v>29</v>
      </c>
      <c r="P18" s="28">
        <v>5</v>
      </c>
      <c r="Q18" s="28">
        <v>6.3150725943844003E-4</v>
      </c>
      <c r="R18" s="28">
        <v>1.58578489592319E-2</v>
      </c>
    </row>
    <row r="19" spans="1:18" x14ac:dyDescent="0.25">
      <c r="A19" s="7" t="s">
        <v>181</v>
      </c>
      <c r="B19" s="7" t="s">
        <v>182</v>
      </c>
      <c r="C19" s="7">
        <v>71</v>
      </c>
      <c r="D19" s="7">
        <v>1856</v>
      </c>
      <c r="E19" s="7">
        <v>29</v>
      </c>
      <c r="F19" s="7">
        <v>6</v>
      </c>
      <c r="G19" s="7">
        <v>5.9892248577073798E-4</v>
      </c>
      <c r="H19" s="7">
        <v>1.58578489592319E-2</v>
      </c>
      <c r="K19" s="28" t="s">
        <v>181</v>
      </c>
      <c r="L19" s="28" t="s">
        <v>182</v>
      </c>
      <c r="M19" s="28">
        <v>71</v>
      </c>
      <c r="N19" s="28">
        <v>1856</v>
      </c>
      <c r="O19" s="28">
        <v>29</v>
      </c>
      <c r="P19" s="28">
        <v>6</v>
      </c>
      <c r="Q19" s="28">
        <v>5.9892248577073798E-4</v>
      </c>
      <c r="R19" s="28">
        <v>1.58578489592319E-2</v>
      </c>
    </row>
    <row r="20" spans="1:18" x14ac:dyDescent="0.25">
      <c r="A20" s="7" t="s">
        <v>183</v>
      </c>
      <c r="B20" s="7" t="s">
        <v>184</v>
      </c>
      <c r="C20" s="7">
        <v>28</v>
      </c>
      <c r="D20" s="7">
        <v>1856</v>
      </c>
      <c r="E20" s="7">
        <v>29</v>
      </c>
      <c r="F20" s="7">
        <v>4</v>
      </c>
      <c r="G20" s="7">
        <v>7.6043512688083099E-4</v>
      </c>
      <c r="H20" s="7">
        <v>1.6367460826196899E-2</v>
      </c>
      <c r="K20" s="28" t="s">
        <v>183</v>
      </c>
      <c r="L20" s="28" t="s">
        <v>184</v>
      </c>
      <c r="M20" s="28">
        <v>28</v>
      </c>
      <c r="N20" s="28">
        <v>1856</v>
      </c>
      <c r="O20" s="28">
        <v>29</v>
      </c>
      <c r="P20" s="28">
        <v>4</v>
      </c>
      <c r="Q20" s="28">
        <v>7.6043512688083099E-4</v>
      </c>
      <c r="R20" s="28">
        <v>1.6367460826196899E-2</v>
      </c>
    </row>
    <row r="21" spans="1:18" x14ac:dyDescent="0.25">
      <c r="A21" s="7" t="s">
        <v>185</v>
      </c>
      <c r="B21" s="7" t="s">
        <v>186</v>
      </c>
      <c r="C21" s="7">
        <v>48</v>
      </c>
      <c r="D21" s="7">
        <v>1856</v>
      </c>
      <c r="E21" s="7">
        <v>29</v>
      </c>
      <c r="F21" s="7">
        <v>5</v>
      </c>
      <c r="G21" s="7">
        <v>6.9728053955050604E-4</v>
      </c>
      <c r="H21" s="7">
        <v>1.6367460826196899E-2</v>
      </c>
      <c r="K21" s="28" t="s">
        <v>185</v>
      </c>
      <c r="L21" s="28" t="s">
        <v>186</v>
      </c>
      <c r="M21" s="28">
        <v>48</v>
      </c>
      <c r="N21" s="28">
        <v>1856</v>
      </c>
      <c r="O21" s="28">
        <v>29</v>
      </c>
      <c r="P21" s="28">
        <v>5</v>
      </c>
      <c r="Q21" s="28">
        <v>6.9728053955050604E-4</v>
      </c>
      <c r="R21" s="28">
        <v>1.6367460826196899E-2</v>
      </c>
    </row>
    <row r="22" spans="1:18" x14ac:dyDescent="0.25">
      <c r="A22" s="7" t="s">
        <v>187</v>
      </c>
      <c r="B22" s="7" t="s">
        <v>188</v>
      </c>
      <c r="C22" s="7">
        <v>74</v>
      </c>
      <c r="D22" s="7">
        <v>1856</v>
      </c>
      <c r="E22" s="7">
        <v>29</v>
      </c>
      <c r="F22" s="7">
        <v>6</v>
      </c>
      <c r="G22" s="7">
        <v>7.4982744686945702E-4</v>
      </c>
      <c r="H22" s="7">
        <v>1.6367460826196899E-2</v>
      </c>
      <c r="K22" s="28" t="s">
        <v>187</v>
      </c>
      <c r="L22" s="28" t="s">
        <v>188</v>
      </c>
      <c r="M22" s="28">
        <v>74</v>
      </c>
      <c r="N22" s="28">
        <v>1856</v>
      </c>
      <c r="O22" s="28">
        <v>29</v>
      </c>
      <c r="P22" s="28">
        <v>6</v>
      </c>
      <c r="Q22" s="28">
        <v>7.4982744686945702E-4</v>
      </c>
      <c r="R22" s="28">
        <v>1.6367460826196899E-2</v>
      </c>
    </row>
    <row r="23" spans="1:18" x14ac:dyDescent="0.25">
      <c r="A23" s="7" t="s">
        <v>189</v>
      </c>
      <c r="B23" s="7" t="s">
        <v>190</v>
      </c>
      <c r="C23" s="7">
        <v>13</v>
      </c>
      <c r="D23" s="7">
        <v>1856</v>
      </c>
      <c r="E23" s="7">
        <v>29</v>
      </c>
      <c r="F23" s="7">
        <v>3</v>
      </c>
      <c r="G23" s="7">
        <v>8.8382979252135696E-4</v>
      </c>
      <c r="H23" s="7">
        <v>1.73691767921588E-2</v>
      </c>
      <c r="K23" s="28" t="s">
        <v>189</v>
      </c>
      <c r="L23" s="28" t="s">
        <v>190</v>
      </c>
      <c r="M23" s="28">
        <v>13</v>
      </c>
      <c r="N23" s="28">
        <v>1856</v>
      </c>
      <c r="O23" s="28">
        <v>29</v>
      </c>
      <c r="P23" s="28">
        <v>3</v>
      </c>
      <c r="Q23" s="28">
        <v>8.8382979252135696E-4</v>
      </c>
      <c r="R23" s="28">
        <v>1.73691767921588E-2</v>
      </c>
    </row>
    <row r="24" spans="1:18" x14ac:dyDescent="0.25">
      <c r="A24" s="7" t="s">
        <v>191</v>
      </c>
      <c r="B24" s="7" t="s">
        <v>192</v>
      </c>
      <c r="C24" s="7">
        <v>76</v>
      </c>
      <c r="D24" s="7">
        <v>1856</v>
      </c>
      <c r="E24" s="7">
        <v>29</v>
      </c>
      <c r="F24" s="7">
        <v>6</v>
      </c>
      <c r="G24" s="7">
        <v>8.6584177660408302E-4</v>
      </c>
      <c r="H24" s="7">
        <v>1.73691767921588E-2</v>
      </c>
      <c r="K24" s="28" t="s">
        <v>191</v>
      </c>
      <c r="L24" s="28" t="s">
        <v>192</v>
      </c>
      <c r="M24" s="28">
        <v>76</v>
      </c>
      <c r="N24" s="28">
        <v>1856</v>
      </c>
      <c r="O24" s="28">
        <v>29</v>
      </c>
      <c r="P24" s="28">
        <v>6</v>
      </c>
      <c r="Q24" s="28">
        <v>8.6584177660408302E-4</v>
      </c>
      <c r="R24" s="28">
        <v>1.73691767921588E-2</v>
      </c>
    </row>
    <row r="25" spans="1:18" x14ac:dyDescent="0.25">
      <c r="A25" s="7" t="s">
        <v>193</v>
      </c>
      <c r="B25" s="7" t="s">
        <v>194</v>
      </c>
      <c r="C25" s="7">
        <v>77</v>
      </c>
      <c r="D25" s="7">
        <v>1856</v>
      </c>
      <c r="E25" s="7">
        <v>29</v>
      </c>
      <c r="F25" s="7">
        <v>6</v>
      </c>
      <c r="G25" s="7">
        <v>9.2884714291715403E-4</v>
      </c>
      <c r="H25" s="7">
        <v>1.7493287858273102E-2</v>
      </c>
      <c r="K25" s="28" t="s">
        <v>193</v>
      </c>
      <c r="L25" s="28" t="s">
        <v>194</v>
      </c>
      <c r="M25" s="28">
        <v>77</v>
      </c>
      <c r="N25" s="28">
        <v>1856</v>
      </c>
      <c r="O25" s="28">
        <v>29</v>
      </c>
      <c r="P25" s="28">
        <v>6</v>
      </c>
      <c r="Q25" s="28">
        <v>9.2884714291715403E-4</v>
      </c>
      <c r="R25" s="28">
        <v>1.7493287858273102E-2</v>
      </c>
    </row>
    <row r="26" spans="1:18" x14ac:dyDescent="0.25">
      <c r="A26" s="7" t="s">
        <v>195</v>
      </c>
      <c r="B26" s="7" t="s">
        <v>196</v>
      </c>
      <c r="C26" s="7">
        <v>30</v>
      </c>
      <c r="D26" s="7">
        <v>1856</v>
      </c>
      <c r="E26" s="7">
        <v>29</v>
      </c>
      <c r="F26" s="7">
        <v>4</v>
      </c>
      <c r="G26" s="7">
        <v>9.9596304368746108E-4</v>
      </c>
      <c r="H26" s="7">
        <v>1.8007011829869302E-2</v>
      </c>
      <c r="K26" s="28" t="s">
        <v>195</v>
      </c>
      <c r="L26" s="28" t="s">
        <v>196</v>
      </c>
      <c r="M26" s="28">
        <v>30</v>
      </c>
      <c r="N26" s="28">
        <v>1856</v>
      </c>
      <c r="O26" s="28">
        <v>29</v>
      </c>
      <c r="P26" s="28">
        <v>4</v>
      </c>
      <c r="Q26" s="28">
        <v>9.9596304368746108E-4</v>
      </c>
      <c r="R26" s="28">
        <v>1.8007011829869302E-2</v>
      </c>
    </row>
    <row r="27" spans="1:18" x14ac:dyDescent="0.25">
      <c r="A27" s="7" t="s">
        <v>197</v>
      </c>
      <c r="B27" s="7" t="s">
        <v>198</v>
      </c>
      <c r="C27" s="7">
        <v>31</v>
      </c>
      <c r="D27" s="7">
        <v>1856</v>
      </c>
      <c r="E27" s="7">
        <v>29</v>
      </c>
      <c r="F27" s="7">
        <v>4</v>
      </c>
      <c r="G27" s="7">
        <v>1.1311731533757E-3</v>
      </c>
      <c r="H27" s="7">
        <v>1.9470065952765299E-2</v>
      </c>
      <c r="K27" s="28" t="s">
        <v>197</v>
      </c>
      <c r="L27" s="28" t="s">
        <v>198</v>
      </c>
      <c r="M27" s="28">
        <v>31</v>
      </c>
      <c r="N27" s="28">
        <v>1856</v>
      </c>
      <c r="O27" s="28">
        <v>29</v>
      </c>
      <c r="P27" s="28">
        <v>4</v>
      </c>
      <c r="Q27" s="28">
        <v>1.1311731533757E-3</v>
      </c>
      <c r="R27" s="28">
        <v>1.9470065952765299E-2</v>
      </c>
    </row>
    <row r="28" spans="1:18" x14ac:dyDescent="0.25">
      <c r="A28" s="7" t="s">
        <v>199</v>
      </c>
      <c r="B28" s="7" t="s">
        <v>200</v>
      </c>
      <c r="C28" s="7">
        <v>54</v>
      </c>
      <c r="D28" s="7">
        <v>1856</v>
      </c>
      <c r="E28" s="7">
        <v>29</v>
      </c>
      <c r="F28" s="7">
        <v>5</v>
      </c>
      <c r="G28" s="7">
        <v>1.2061102802598E-3</v>
      </c>
      <c r="H28" s="7">
        <v>1.9470065952765299E-2</v>
      </c>
      <c r="K28" s="28" t="s">
        <v>199</v>
      </c>
      <c r="L28" s="28" t="s">
        <v>200</v>
      </c>
      <c r="M28" s="28">
        <v>54</v>
      </c>
      <c r="N28" s="28">
        <v>1856</v>
      </c>
      <c r="O28" s="28">
        <v>29</v>
      </c>
      <c r="P28" s="28">
        <v>5</v>
      </c>
      <c r="Q28" s="28">
        <v>1.2061102802598E-3</v>
      </c>
      <c r="R28" s="28">
        <v>1.9470065952765299E-2</v>
      </c>
    </row>
    <row r="29" spans="1:18" x14ac:dyDescent="0.25">
      <c r="A29" s="7" t="s">
        <v>201</v>
      </c>
      <c r="B29" s="7" t="s">
        <v>202</v>
      </c>
      <c r="C29" s="7">
        <v>54</v>
      </c>
      <c r="D29" s="7">
        <v>1856</v>
      </c>
      <c r="E29" s="7">
        <v>29</v>
      </c>
      <c r="F29" s="7">
        <v>5</v>
      </c>
      <c r="G29" s="7">
        <v>1.2061102802598E-3</v>
      </c>
      <c r="H29" s="7">
        <v>1.9470065952765299E-2</v>
      </c>
      <c r="K29" s="28" t="s">
        <v>201</v>
      </c>
      <c r="L29" s="28" t="s">
        <v>202</v>
      </c>
      <c r="M29" s="28">
        <v>54</v>
      </c>
      <c r="N29" s="28">
        <v>1856</v>
      </c>
      <c r="O29" s="28">
        <v>29</v>
      </c>
      <c r="P29" s="28">
        <v>5</v>
      </c>
      <c r="Q29" s="28">
        <v>1.2061102802598E-3</v>
      </c>
      <c r="R29" s="28">
        <v>1.9470065952765299E-2</v>
      </c>
    </row>
    <row r="30" spans="1:18" x14ac:dyDescent="0.25">
      <c r="A30" s="7" t="s">
        <v>203</v>
      </c>
      <c r="B30" s="9" t="s">
        <v>204</v>
      </c>
      <c r="C30" s="7">
        <v>15</v>
      </c>
      <c r="D30" s="7">
        <v>1856</v>
      </c>
      <c r="E30" s="7">
        <v>29</v>
      </c>
      <c r="F30" s="7">
        <v>3</v>
      </c>
      <c r="G30" s="7">
        <v>1.37674442443105E-3</v>
      </c>
      <c r="H30" s="7">
        <v>2.0234455949143401E-2</v>
      </c>
      <c r="K30" s="28" t="s">
        <v>203</v>
      </c>
      <c r="L30" s="30" t="s">
        <v>204</v>
      </c>
      <c r="M30" s="28">
        <v>15</v>
      </c>
      <c r="N30" s="28">
        <v>1856</v>
      </c>
      <c r="O30" s="28">
        <v>29</v>
      </c>
      <c r="P30" s="28">
        <v>3</v>
      </c>
      <c r="Q30" s="28">
        <v>1.37674442443105E-3</v>
      </c>
      <c r="R30" s="28">
        <v>2.0234455949143401E-2</v>
      </c>
    </row>
    <row r="31" spans="1:18" x14ac:dyDescent="0.25">
      <c r="A31" s="7" t="s">
        <v>205</v>
      </c>
      <c r="B31" s="7" t="s">
        <v>206</v>
      </c>
      <c r="C31" s="7">
        <v>55</v>
      </c>
      <c r="D31" s="7">
        <v>1856</v>
      </c>
      <c r="E31" s="7">
        <v>29</v>
      </c>
      <c r="F31" s="7">
        <v>5</v>
      </c>
      <c r="G31" s="7">
        <v>1.3122990799713701E-3</v>
      </c>
      <c r="H31" s="7">
        <v>2.0234455949143401E-2</v>
      </c>
      <c r="K31" s="28" t="s">
        <v>205</v>
      </c>
      <c r="L31" s="28" t="s">
        <v>206</v>
      </c>
      <c r="M31" s="28">
        <v>55</v>
      </c>
      <c r="N31" s="28">
        <v>1856</v>
      </c>
      <c r="O31" s="28">
        <v>29</v>
      </c>
      <c r="P31" s="28">
        <v>5</v>
      </c>
      <c r="Q31" s="28">
        <v>1.3122990799713701E-3</v>
      </c>
      <c r="R31" s="28">
        <v>2.0234455949143401E-2</v>
      </c>
    </row>
    <row r="32" spans="1:18" x14ac:dyDescent="0.25">
      <c r="A32" s="7" t="s">
        <v>207</v>
      </c>
      <c r="B32" s="7" t="s">
        <v>208</v>
      </c>
      <c r="C32" s="7">
        <v>33</v>
      </c>
      <c r="D32" s="7">
        <v>1856</v>
      </c>
      <c r="E32" s="7">
        <v>29</v>
      </c>
      <c r="F32" s="7">
        <v>4</v>
      </c>
      <c r="G32" s="7">
        <v>1.43950642946062E-3</v>
      </c>
      <c r="H32" s="7">
        <v>2.0333028316131301E-2</v>
      </c>
      <c r="K32" s="28" t="s">
        <v>207</v>
      </c>
      <c r="L32" s="28" t="s">
        <v>208</v>
      </c>
      <c r="M32" s="28">
        <v>33</v>
      </c>
      <c r="N32" s="28">
        <v>1856</v>
      </c>
      <c r="O32" s="28">
        <v>29</v>
      </c>
      <c r="P32" s="28">
        <v>4</v>
      </c>
      <c r="Q32" s="28">
        <v>1.43950642946062E-3</v>
      </c>
      <c r="R32" s="28">
        <v>2.0333028316131301E-2</v>
      </c>
    </row>
    <row r="33" spans="1:18" x14ac:dyDescent="0.25">
      <c r="A33" s="7" t="s">
        <v>209</v>
      </c>
      <c r="B33" s="7" t="s">
        <v>210</v>
      </c>
      <c r="C33" s="7">
        <v>34</v>
      </c>
      <c r="D33" s="7">
        <v>1856</v>
      </c>
      <c r="E33" s="7">
        <v>29</v>
      </c>
      <c r="F33" s="7">
        <v>4</v>
      </c>
      <c r="G33" s="7">
        <v>1.61383817456898E-3</v>
      </c>
      <c r="H33" s="7">
        <v>2.08415672830051E-2</v>
      </c>
      <c r="K33" s="28" t="s">
        <v>209</v>
      </c>
      <c r="L33" s="28" t="s">
        <v>210</v>
      </c>
      <c r="M33" s="28">
        <v>34</v>
      </c>
      <c r="N33" s="28">
        <v>1856</v>
      </c>
      <c r="O33" s="28">
        <v>29</v>
      </c>
      <c r="P33" s="28">
        <v>4</v>
      </c>
      <c r="Q33" s="28">
        <v>1.61383817456898E-3</v>
      </c>
      <c r="R33" s="28">
        <v>2.08415672830051E-2</v>
      </c>
    </row>
    <row r="34" spans="1:18" x14ac:dyDescent="0.25">
      <c r="A34" s="7" t="s">
        <v>211</v>
      </c>
      <c r="B34" s="7" t="s">
        <v>212</v>
      </c>
      <c r="C34" s="7">
        <v>34</v>
      </c>
      <c r="D34" s="7">
        <v>1856</v>
      </c>
      <c r="E34" s="7">
        <v>29</v>
      </c>
      <c r="F34" s="7">
        <v>4</v>
      </c>
      <c r="G34" s="7">
        <v>1.61383817456898E-3</v>
      </c>
      <c r="H34" s="7">
        <v>2.08415672830051E-2</v>
      </c>
      <c r="K34" s="28" t="s">
        <v>211</v>
      </c>
      <c r="L34" s="28" t="s">
        <v>212</v>
      </c>
      <c r="M34" s="28">
        <v>34</v>
      </c>
      <c r="N34" s="28">
        <v>1856</v>
      </c>
      <c r="O34" s="28">
        <v>29</v>
      </c>
      <c r="P34" s="28">
        <v>4</v>
      </c>
      <c r="Q34" s="28">
        <v>1.61383817456898E-3</v>
      </c>
      <c r="R34" s="28">
        <v>2.08415672830051E-2</v>
      </c>
    </row>
    <row r="35" spans="1:18" x14ac:dyDescent="0.25">
      <c r="A35" s="7" t="s">
        <v>213</v>
      </c>
      <c r="B35" s="7" t="s">
        <v>214</v>
      </c>
      <c r="C35" s="7">
        <v>34</v>
      </c>
      <c r="D35" s="7">
        <v>1856</v>
      </c>
      <c r="E35" s="7">
        <v>29</v>
      </c>
      <c r="F35" s="7">
        <v>4</v>
      </c>
      <c r="G35" s="7">
        <v>1.61383817456898E-3</v>
      </c>
      <c r="H35" s="7">
        <v>2.08415672830051E-2</v>
      </c>
      <c r="K35" s="28" t="s">
        <v>213</v>
      </c>
      <c r="L35" s="28" t="s">
        <v>214</v>
      </c>
      <c r="M35" s="28">
        <v>34</v>
      </c>
      <c r="N35" s="28">
        <v>1856</v>
      </c>
      <c r="O35" s="28">
        <v>29</v>
      </c>
      <c r="P35" s="28">
        <v>4</v>
      </c>
      <c r="Q35" s="28">
        <v>1.61383817456898E-3</v>
      </c>
      <c r="R35" s="28">
        <v>2.08415672830051E-2</v>
      </c>
    </row>
    <row r="36" spans="1:18" x14ac:dyDescent="0.25">
      <c r="A36" s="7" t="s">
        <v>215</v>
      </c>
      <c r="B36" s="7" t="s">
        <v>216</v>
      </c>
      <c r="C36" s="7">
        <v>58</v>
      </c>
      <c r="D36" s="7">
        <v>1856</v>
      </c>
      <c r="E36" s="7">
        <v>29</v>
      </c>
      <c r="F36" s="7">
        <v>5</v>
      </c>
      <c r="G36" s="7">
        <v>1.6727499149918701E-3</v>
      </c>
      <c r="H36" s="7">
        <v>2.1002304488231299E-2</v>
      </c>
      <c r="K36" s="28" t="s">
        <v>215</v>
      </c>
      <c r="L36" s="28" t="s">
        <v>216</v>
      </c>
      <c r="M36" s="28">
        <v>58</v>
      </c>
      <c r="N36" s="28">
        <v>1856</v>
      </c>
      <c r="O36" s="28">
        <v>29</v>
      </c>
      <c r="P36" s="28">
        <v>5</v>
      </c>
      <c r="Q36" s="28">
        <v>1.6727499149918701E-3</v>
      </c>
      <c r="R36" s="28">
        <v>2.1002304488231299E-2</v>
      </c>
    </row>
    <row r="37" spans="1:18" x14ac:dyDescent="0.25">
      <c r="A37" s="7" t="s">
        <v>217</v>
      </c>
      <c r="B37" s="7" t="s">
        <v>218</v>
      </c>
      <c r="C37" s="7">
        <v>35</v>
      </c>
      <c r="D37" s="7">
        <v>1856</v>
      </c>
      <c r="E37" s="7">
        <v>29</v>
      </c>
      <c r="F37" s="7">
        <v>4</v>
      </c>
      <c r="G37" s="7">
        <v>1.8024172079359E-3</v>
      </c>
      <c r="H37" s="7">
        <v>2.2018718323973702E-2</v>
      </c>
      <c r="K37" s="28" t="s">
        <v>217</v>
      </c>
      <c r="L37" s="28" t="s">
        <v>218</v>
      </c>
      <c r="M37" s="28">
        <v>35</v>
      </c>
      <c r="N37" s="28">
        <v>1856</v>
      </c>
      <c r="O37" s="28">
        <v>29</v>
      </c>
      <c r="P37" s="28">
        <v>4</v>
      </c>
      <c r="Q37" s="28">
        <v>1.8024172079359E-3</v>
      </c>
      <c r="R37" s="28">
        <v>2.2018718323973702E-2</v>
      </c>
    </row>
    <row r="38" spans="1:18" x14ac:dyDescent="0.25">
      <c r="A38" s="7" t="s">
        <v>219</v>
      </c>
      <c r="B38" s="7" t="s">
        <v>220</v>
      </c>
      <c r="C38" s="7">
        <v>88</v>
      </c>
      <c r="D38" s="7">
        <v>1856</v>
      </c>
      <c r="E38" s="7">
        <v>29</v>
      </c>
      <c r="F38" s="7">
        <v>6</v>
      </c>
      <c r="G38" s="7">
        <v>1.88327834646067E-3</v>
      </c>
      <c r="H38" s="7">
        <v>2.2401100331584801E-2</v>
      </c>
      <c r="K38" s="28" t="s">
        <v>219</v>
      </c>
      <c r="L38" s="28" t="s">
        <v>220</v>
      </c>
      <c r="M38" s="28">
        <v>88</v>
      </c>
      <c r="N38" s="28">
        <v>1856</v>
      </c>
      <c r="O38" s="28">
        <v>29</v>
      </c>
      <c r="P38" s="28">
        <v>6</v>
      </c>
      <c r="Q38" s="28">
        <v>1.88327834646067E-3</v>
      </c>
      <c r="R38" s="28">
        <v>2.2401100331584801E-2</v>
      </c>
    </row>
    <row r="39" spans="1:18" x14ac:dyDescent="0.25">
      <c r="A39" s="7" t="s">
        <v>221</v>
      </c>
      <c r="B39" s="7" t="s">
        <v>222</v>
      </c>
      <c r="C39" s="7">
        <v>17</v>
      </c>
      <c r="D39" s="7">
        <v>1856</v>
      </c>
      <c r="E39" s="7">
        <v>29</v>
      </c>
      <c r="F39" s="7">
        <v>3</v>
      </c>
      <c r="G39" s="7">
        <v>2.0146327857358298E-3</v>
      </c>
      <c r="H39" s="7">
        <v>2.3349077414169101E-2</v>
      </c>
      <c r="K39" s="28" t="s">
        <v>221</v>
      </c>
      <c r="L39" s="28" t="s">
        <v>222</v>
      </c>
      <c r="M39" s="28">
        <v>17</v>
      </c>
      <c r="N39" s="28">
        <v>1856</v>
      </c>
      <c r="O39" s="28">
        <v>29</v>
      </c>
      <c r="P39" s="28">
        <v>3</v>
      </c>
      <c r="Q39" s="28">
        <v>2.0146327857358298E-3</v>
      </c>
      <c r="R39" s="28">
        <v>2.3349077414169101E-2</v>
      </c>
    </row>
    <row r="40" spans="1:18" x14ac:dyDescent="0.25">
      <c r="A40" s="7" t="s">
        <v>223</v>
      </c>
      <c r="B40" s="7" t="s">
        <v>224</v>
      </c>
      <c r="C40" s="7">
        <v>37</v>
      </c>
      <c r="D40" s="7">
        <v>1856</v>
      </c>
      <c r="E40" s="7">
        <v>29</v>
      </c>
      <c r="F40" s="7">
        <v>4</v>
      </c>
      <c r="G40" s="7">
        <v>2.2247154986383601E-3</v>
      </c>
      <c r="H40" s="7">
        <v>2.4526131838647301E-2</v>
      </c>
      <c r="K40" s="28" t="s">
        <v>223</v>
      </c>
      <c r="L40" s="28" t="s">
        <v>224</v>
      </c>
      <c r="M40" s="28">
        <v>37</v>
      </c>
      <c r="N40" s="28">
        <v>1856</v>
      </c>
      <c r="O40" s="28">
        <v>29</v>
      </c>
      <c r="P40" s="28">
        <v>4</v>
      </c>
      <c r="Q40" s="28">
        <v>2.2247154986383601E-3</v>
      </c>
      <c r="R40" s="28">
        <v>2.4526131838647301E-2</v>
      </c>
    </row>
    <row r="41" spans="1:18" x14ac:dyDescent="0.25">
      <c r="A41" s="7" t="s">
        <v>225</v>
      </c>
      <c r="B41" s="9" t="s">
        <v>226</v>
      </c>
      <c r="C41" s="7">
        <v>37</v>
      </c>
      <c r="D41" s="7">
        <v>1856</v>
      </c>
      <c r="E41" s="7">
        <v>29</v>
      </c>
      <c r="F41" s="7">
        <v>4</v>
      </c>
      <c r="G41" s="7">
        <v>2.2247154986383601E-3</v>
      </c>
      <c r="H41" s="7">
        <v>2.4526131838647301E-2</v>
      </c>
      <c r="K41" s="28" t="s">
        <v>225</v>
      </c>
      <c r="L41" s="30" t="s">
        <v>226</v>
      </c>
      <c r="M41" s="28">
        <v>37</v>
      </c>
      <c r="N41" s="28">
        <v>1856</v>
      </c>
      <c r="O41" s="28">
        <v>29</v>
      </c>
      <c r="P41" s="28">
        <v>4</v>
      </c>
      <c r="Q41" s="28">
        <v>2.2247154986383601E-3</v>
      </c>
      <c r="R41" s="28">
        <v>2.4526131838647301E-2</v>
      </c>
    </row>
    <row r="42" spans="1:18" x14ac:dyDescent="0.25">
      <c r="A42" s="7" t="s">
        <v>227</v>
      </c>
      <c r="B42" s="7" t="s">
        <v>228</v>
      </c>
      <c r="C42" s="7">
        <v>18</v>
      </c>
      <c r="D42" s="7">
        <v>1856</v>
      </c>
      <c r="E42" s="7">
        <v>29</v>
      </c>
      <c r="F42" s="7">
        <v>3</v>
      </c>
      <c r="G42" s="7">
        <v>2.39222405345895E-3</v>
      </c>
      <c r="H42" s="7">
        <v>2.5744887432463E-2</v>
      </c>
      <c r="K42" s="28" t="s">
        <v>227</v>
      </c>
      <c r="L42" s="28" t="s">
        <v>228</v>
      </c>
      <c r="M42" s="28">
        <v>18</v>
      </c>
      <c r="N42" s="28">
        <v>1856</v>
      </c>
      <c r="O42" s="28">
        <v>29</v>
      </c>
      <c r="P42" s="28">
        <v>3</v>
      </c>
      <c r="Q42" s="28">
        <v>2.39222405345895E-3</v>
      </c>
      <c r="R42" s="28">
        <v>2.5744887432463E-2</v>
      </c>
    </row>
    <row r="43" spans="1:18" x14ac:dyDescent="0.25">
      <c r="A43" s="7" t="s">
        <v>229</v>
      </c>
      <c r="B43" s="7" t="s">
        <v>230</v>
      </c>
      <c r="C43" s="7">
        <v>38</v>
      </c>
      <c r="D43" s="7">
        <v>1856</v>
      </c>
      <c r="E43" s="7">
        <v>29</v>
      </c>
      <c r="F43" s="7">
        <v>4</v>
      </c>
      <c r="G43" s="7">
        <v>2.4596257828564498E-3</v>
      </c>
      <c r="H43" s="7">
        <v>2.5854671019793399E-2</v>
      </c>
      <c r="K43" s="28" t="s">
        <v>229</v>
      </c>
      <c r="L43" s="28" t="s">
        <v>230</v>
      </c>
      <c r="M43" s="28">
        <v>38</v>
      </c>
      <c r="N43" s="28">
        <v>1856</v>
      </c>
      <c r="O43" s="28">
        <v>29</v>
      </c>
      <c r="P43" s="28">
        <v>4</v>
      </c>
      <c r="Q43" s="28">
        <v>2.4596257828564498E-3</v>
      </c>
      <c r="R43" s="28">
        <v>2.5854671019793399E-2</v>
      </c>
    </row>
    <row r="44" spans="1:18" x14ac:dyDescent="0.25">
      <c r="A44" s="7" t="s">
        <v>231</v>
      </c>
      <c r="B44" s="7" t="s">
        <v>232</v>
      </c>
      <c r="C44" s="7">
        <v>65</v>
      </c>
      <c r="D44" s="7">
        <v>1856</v>
      </c>
      <c r="E44" s="7">
        <v>29</v>
      </c>
      <c r="F44" s="7">
        <v>5</v>
      </c>
      <c r="G44" s="7">
        <v>2.7931229453213098E-3</v>
      </c>
      <c r="H44" s="7">
        <v>2.86929902564825E-2</v>
      </c>
      <c r="K44" s="28" t="s">
        <v>231</v>
      </c>
      <c r="L44" s="28" t="s">
        <v>232</v>
      </c>
      <c r="M44" s="28">
        <v>65</v>
      </c>
      <c r="N44" s="28">
        <v>1856</v>
      </c>
      <c r="O44" s="28">
        <v>29</v>
      </c>
      <c r="P44" s="28">
        <v>5</v>
      </c>
      <c r="Q44" s="28">
        <v>2.7931229453213098E-3</v>
      </c>
      <c r="R44" s="28">
        <v>2.86929902564825E-2</v>
      </c>
    </row>
    <row r="45" spans="1:18" x14ac:dyDescent="0.25">
      <c r="A45" s="7" t="s">
        <v>233</v>
      </c>
      <c r="B45" s="7" t="s">
        <v>234</v>
      </c>
      <c r="C45" s="7">
        <v>20</v>
      </c>
      <c r="D45" s="7">
        <v>1856</v>
      </c>
      <c r="E45" s="7">
        <v>29</v>
      </c>
      <c r="F45" s="7">
        <v>3</v>
      </c>
      <c r="G45" s="7">
        <v>3.2724302320267301E-3</v>
      </c>
      <c r="H45" s="7">
        <v>3.1466070433706202E-2</v>
      </c>
      <c r="K45" s="28" t="s">
        <v>233</v>
      </c>
      <c r="L45" s="28" t="s">
        <v>234</v>
      </c>
      <c r="M45" s="28">
        <v>20</v>
      </c>
      <c r="N45" s="28">
        <v>1856</v>
      </c>
      <c r="O45" s="28">
        <v>29</v>
      </c>
      <c r="P45" s="28">
        <v>3</v>
      </c>
      <c r="Q45" s="28">
        <v>3.2724302320267301E-3</v>
      </c>
      <c r="R45" s="28">
        <v>3.1466070433706202E-2</v>
      </c>
    </row>
    <row r="46" spans="1:18" x14ac:dyDescent="0.25">
      <c r="A46" s="7" t="s">
        <v>235</v>
      </c>
      <c r="B46" s="7" t="s">
        <v>236</v>
      </c>
      <c r="C46" s="7">
        <v>20</v>
      </c>
      <c r="D46" s="7">
        <v>1856</v>
      </c>
      <c r="E46" s="7">
        <v>29</v>
      </c>
      <c r="F46" s="7">
        <v>3</v>
      </c>
      <c r="G46" s="7">
        <v>3.2724302320267301E-3</v>
      </c>
      <c r="H46" s="7">
        <v>3.1466070433706202E-2</v>
      </c>
      <c r="K46" s="28" t="s">
        <v>235</v>
      </c>
      <c r="L46" s="28" t="s">
        <v>236</v>
      </c>
      <c r="M46" s="28">
        <v>20</v>
      </c>
      <c r="N46" s="28">
        <v>1856</v>
      </c>
      <c r="O46" s="28">
        <v>29</v>
      </c>
      <c r="P46" s="28">
        <v>3</v>
      </c>
      <c r="Q46" s="28">
        <v>3.2724302320267301E-3</v>
      </c>
      <c r="R46" s="28">
        <v>3.1466070433706202E-2</v>
      </c>
    </row>
    <row r="47" spans="1:18" x14ac:dyDescent="0.25">
      <c r="A47" s="7" t="s">
        <v>237</v>
      </c>
      <c r="B47" s="7" t="s">
        <v>238</v>
      </c>
      <c r="C47" s="7">
        <v>68</v>
      </c>
      <c r="D47" s="7">
        <v>1856</v>
      </c>
      <c r="E47" s="7">
        <v>29</v>
      </c>
      <c r="F47" s="7">
        <v>5</v>
      </c>
      <c r="G47" s="7">
        <v>3.4111448036539902E-3</v>
      </c>
      <c r="H47" s="7">
        <v>3.1466070433706202E-2</v>
      </c>
      <c r="K47" s="28" t="s">
        <v>237</v>
      </c>
      <c r="L47" s="28" t="s">
        <v>238</v>
      </c>
      <c r="M47" s="28">
        <v>68</v>
      </c>
      <c r="N47" s="28">
        <v>1856</v>
      </c>
      <c r="O47" s="28">
        <v>29</v>
      </c>
      <c r="P47" s="28">
        <v>5</v>
      </c>
      <c r="Q47" s="28">
        <v>3.4111448036539902E-3</v>
      </c>
      <c r="R47" s="28">
        <v>3.1466070433706202E-2</v>
      </c>
    </row>
    <row r="48" spans="1:18" x14ac:dyDescent="0.25">
      <c r="A48" s="7" t="s">
        <v>239</v>
      </c>
      <c r="B48" s="7" t="s">
        <v>240</v>
      </c>
      <c r="C48" s="7">
        <v>68</v>
      </c>
      <c r="D48" s="7">
        <v>1856</v>
      </c>
      <c r="E48" s="7">
        <v>29</v>
      </c>
      <c r="F48" s="7">
        <v>5</v>
      </c>
      <c r="G48" s="7">
        <v>3.4111448036539902E-3</v>
      </c>
      <c r="H48" s="7">
        <v>3.1466070433706202E-2</v>
      </c>
      <c r="K48" s="28" t="s">
        <v>239</v>
      </c>
      <c r="L48" s="28" t="s">
        <v>240</v>
      </c>
      <c r="M48" s="28">
        <v>68</v>
      </c>
      <c r="N48" s="28">
        <v>1856</v>
      </c>
      <c r="O48" s="28">
        <v>29</v>
      </c>
      <c r="P48" s="28">
        <v>5</v>
      </c>
      <c r="Q48" s="28">
        <v>3.4111448036539902E-3</v>
      </c>
      <c r="R48" s="28">
        <v>3.1466070433706202E-2</v>
      </c>
    </row>
    <row r="49" spans="1:18" x14ac:dyDescent="0.25">
      <c r="A49" s="7" t="s">
        <v>241</v>
      </c>
      <c r="B49" s="7" t="s">
        <v>242</v>
      </c>
      <c r="C49" s="7">
        <v>42</v>
      </c>
      <c r="D49" s="7">
        <v>1856</v>
      </c>
      <c r="E49" s="7">
        <v>29</v>
      </c>
      <c r="F49" s="7">
        <v>4</v>
      </c>
      <c r="G49" s="7">
        <v>3.5713602278937E-3</v>
      </c>
      <c r="H49" s="7">
        <v>3.2285096460159098E-2</v>
      </c>
      <c r="K49" s="28" t="s">
        <v>241</v>
      </c>
      <c r="L49" s="28" t="s">
        <v>242</v>
      </c>
      <c r="M49" s="28">
        <v>42</v>
      </c>
      <c r="N49" s="28">
        <v>1856</v>
      </c>
      <c r="O49" s="28">
        <v>29</v>
      </c>
      <c r="P49" s="28">
        <v>4</v>
      </c>
      <c r="Q49" s="28">
        <v>3.5713602278937E-3</v>
      </c>
      <c r="R49" s="28">
        <v>3.2285096460159098E-2</v>
      </c>
    </row>
    <row r="50" spans="1:18" x14ac:dyDescent="0.25">
      <c r="A50" s="7" t="s">
        <v>243</v>
      </c>
      <c r="B50" s="7" t="s">
        <v>244</v>
      </c>
      <c r="C50" s="7">
        <v>21</v>
      </c>
      <c r="D50" s="7">
        <v>1856</v>
      </c>
      <c r="E50" s="7">
        <v>29</v>
      </c>
      <c r="F50" s="7">
        <v>3</v>
      </c>
      <c r="G50" s="7">
        <v>3.7778643017726001E-3</v>
      </c>
      <c r="H50" s="7">
        <v>3.2838358930792601E-2</v>
      </c>
      <c r="K50" s="28" t="s">
        <v>243</v>
      </c>
      <c r="L50" s="28" t="s">
        <v>244</v>
      </c>
      <c r="M50" s="28">
        <v>21</v>
      </c>
      <c r="N50" s="28">
        <v>1856</v>
      </c>
      <c r="O50" s="28">
        <v>29</v>
      </c>
      <c r="P50" s="28">
        <v>3</v>
      </c>
      <c r="Q50" s="28">
        <v>3.7778643017726001E-3</v>
      </c>
      <c r="R50" s="28">
        <v>3.2838358930792601E-2</v>
      </c>
    </row>
    <row r="51" spans="1:18" x14ac:dyDescent="0.25">
      <c r="A51" s="7" t="s">
        <v>245</v>
      </c>
      <c r="B51" s="7" t="s">
        <v>246</v>
      </c>
      <c r="C51" s="7">
        <v>21</v>
      </c>
      <c r="D51" s="7">
        <v>1856</v>
      </c>
      <c r="E51" s="7">
        <v>29</v>
      </c>
      <c r="F51" s="7">
        <v>3</v>
      </c>
      <c r="G51" s="7">
        <v>3.7778643017726001E-3</v>
      </c>
      <c r="H51" s="7">
        <v>3.2838358930792601E-2</v>
      </c>
      <c r="K51" s="28" t="s">
        <v>245</v>
      </c>
      <c r="L51" s="28" t="s">
        <v>246</v>
      </c>
      <c r="M51" s="28">
        <v>21</v>
      </c>
      <c r="N51" s="28">
        <v>1856</v>
      </c>
      <c r="O51" s="28">
        <v>29</v>
      </c>
      <c r="P51" s="28">
        <v>3</v>
      </c>
      <c r="Q51" s="28">
        <v>3.7778643017726001E-3</v>
      </c>
      <c r="R51" s="28">
        <v>3.2838358930792601E-2</v>
      </c>
    </row>
    <row r="52" spans="1:18" x14ac:dyDescent="0.25">
      <c r="A52" s="7" t="s">
        <v>247</v>
      </c>
      <c r="B52" s="7" t="s">
        <v>248</v>
      </c>
      <c r="C52" s="7">
        <v>44</v>
      </c>
      <c r="D52" s="7">
        <v>1856</v>
      </c>
      <c r="E52" s="7">
        <v>29</v>
      </c>
      <c r="F52" s="7">
        <v>4</v>
      </c>
      <c r="G52" s="7">
        <v>4.2385141123065804E-3</v>
      </c>
      <c r="H52" s="7">
        <v>3.4210863906474598E-2</v>
      </c>
      <c r="K52" s="28" t="s">
        <v>247</v>
      </c>
      <c r="L52" s="28" t="s">
        <v>248</v>
      </c>
      <c r="M52" s="28">
        <v>44</v>
      </c>
      <c r="N52" s="28">
        <v>1856</v>
      </c>
      <c r="O52" s="28">
        <v>29</v>
      </c>
      <c r="P52" s="28">
        <v>4</v>
      </c>
      <c r="Q52" s="28">
        <v>4.2385141123065804E-3</v>
      </c>
      <c r="R52" s="28">
        <v>3.4210863906474598E-2</v>
      </c>
    </row>
    <row r="53" spans="1:18" x14ac:dyDescent="0.25">
      <c r="A53" s="7" t="s">
        <v>249</v>
      </c>
      <c r="B53" s="7" t="s">
        <v>250</v>
      </c>
      <c r="C53" s="7">
        <v>44</v>
      </c>
      <c r="D53" s="7">
        <v>1856</v>
      </c>
      <c r="E53" s="7">
        <v>29</v>
      </c>
      <c r="F53" s="7">
        <v>4</v>
      </c>
      <c r="G53" s="7">
        <v>4.2385141123065804E-3</v>
      </c>
      <c r="H53" s="7">
        <v>3.4210863906474598E-2</v>
      </c>
      <c r="K53" s="28" t="s">
        <v>249</v>
      </c>
      <c r="L53" s="28" t="s">
        <v>250</v>
      </c>
      <c r="M53" s="28">
        <v>44</v>
      </c>
      <c r="N53" s="28">
        <v>1856</v>
      </c>
      <c r="O53" s="28">
        <v>29</v>
      </c>
      <c r="P53" s="28">
        <v>4</v>
      </c>
      <c r="Q53" s="28">
        <v>4.2385141123065804E-3</v>
      </c>
      <c r="R53" s="28">
        <v>3.4210863906474598E-2</v>
      </c>
    </row>
    <row r="54" spans="1:18" x14ac:dyDescent="0.25">
      <c r="A54" s="7" t="s">
        <v>251</v>
      </c>
      <c r="B54" s="7" t="s">
        <v>252</v>
      </c>
      <c r="C54" s="7">
        <v>44</v>
      </c>
      <c r="D54" s="7">
        <v>1856</v>
      </c>
      <c r="E54" s="7">
        <v>29</v>
      </c>
      <c r="F54" s="7">
        <v>4</v>
      </c>
      <c r="G54" s="7">
        <v>4.2385141123065804E-3</v>
      </c>
      <c r="H54" s="7">
        <v>3.4210863906474598E-2</v>
      </c>
      <c r="K54" s="28" t="s">
        <v>251</v>
      </c>
      <c r="L54" s="28" t="s">
        <v>252</v>
      </c>
      <c r="M54" s="28">
        <v>44</v>
      </c>
      <c r="N54" s="28">
        <v>1856</v>
      </c>
      <c r="O54" s="28">
        <v>29</v>
      </c>
      <c r="P54" s="28">
        <v>4</v>
      </c>
      <c r="Q54" s="28">
        <v>4.2385141123065804E-3</v>
      </c>
      <c r="R54" s="28">
        <v>3.4210863906474598E-2</v>
      </c>
    </row>
    <row r="55" spans="1:18" x14ac:dyDescent="0.25">
      <c r="A55" s="7" t="s">
        <v>253</v>
      </c>
      <c r="B55" s="7" t="s">
        <v>254</v>
      </c>
      <c r="C55" s="7">
        <v>44</v>
      </c>
      <c r="D55" s="7">
        <v>1856</v>
      </c>
      <c r="E55" s="7">
        <v>29</v>
      </c>
      <c r="F55" s="7">
        <v>4</v>
      </c>
      <c r="G55" s="7">
        <v>4.2385141123065804E-3</v>
      </c>
      <c r="H55" s="7">
        <v>3.4210863906474598E-2</v>
      </c>
      <c r="K55" s="28" t="s">
        <v>253</v>
      </c>
      <c r="L55" s="28" t="s">
        <v>254</v>
      </c>
      <c r="M55" s="28">
        <v>44</v>
      </c>
      <c r="N55" s="28">
        <v>1856</v>
      </c>
      <c r="O55" s="28">
        <v>29</v>
      </c>
      <c r="P55" s="28">
        <v>4</v>
      </c>
      <c r="Q55" s="28">
        <v>4.2385141123065804E-3</v>
      </c>
      <c r="R55" s="28">
        <v>3.4210863906474598E-2</v>
      </c>
    </row>
    <row r="56" spans="1:18" x14ac:dyDescent="0.25">
      <c r="A56" s="7" t="s">
        <v>255</v>
      </c>
      <c r="B56" s="7" t="s">
        <v>256</v>
      </c>
      <c r="C56" s="7">
        <v>45</v>
      </c>
      <c r="D56" s="7">
        <v>1856</v>
      </c>
      <c r="E56" s="7">
        <v>29</v>
      </c>
      <c r="F56" s="7">
        <v>4</v>
      </c>
      <c r="G56" s="7">
        <v>4.6018722934493004E-3</v>
      </c>
      <c r="H56" s="7">
        <v>3.64920399410366E-2</v>
      </c>
      <c r="K56" s="28" t="s">
        <v>255</v>
      </c>
      <c r="L56" s="28" t="s">
        <v>256</v>
      </c>
      <c r="M56" s="28">
        <v>45</v>
      </c>
      <c r="N56" s="28">
        <v>1856</v>
      </c>
      <c r="O56" s="28">
        <v>29</v>
      </c>
      <c r="P56" s="28">
        <v>4</v>
      </c>
      <c r="Q56" s="28">
        <v>4.6018722934493004E-3</v>
      </c>
      <c r="R56" s="28">
        <v>3.64920399410366E-2</v>
      </c>
    </row>
    <row r="57" spans="1:18" x14ac:dyDescent="0.25">
      <c r="A57" s="7" t="s">
        <v>257</v>
      </c>
      <c r="B57" s="7" t="s">
        <v>258</v>
      </c>
      <c r="C57" s="7">
        <v>23</v>
      </c>
      <c r="D57" s="7">
        <v>1856</v>
      </c>
      <c r="E57" s="7">
        <v>29</v>
      </c>
      <c r="F57" s="7">
        <v>3</v>
      </c>
      <c r="G57" s="7">
        <v>4.9257930996135001E-3</v>
      </c>
      <c r="H57" s="7">
        <v>3.8196377653122601E-2</v>
      </c>
      <c r="K57" s="28" t="s">
        <v>257</v>
      </c>
      <c r="L57" s="28" t="s">
        <v>258</v>
      </c>
      <c r="M57" s="28">
        <v>23</v>
      </c>
      <c r="N57" s="28">
        <v>1856</v>
      </c>
      <c r="O57" s="28">
        <v>29</v>
      </c>
      <c r="P57" s="28">
        <v>3</v>
      </c>
      <c r="Q57" s="28">
        <v>4.9257930996135001E-3</v>
      </c>
      <c r="R57" s="28">
        <v>3.8196377653122601E-2</v>
      </c>
    </row>
    <row r="58" spans="1:18" x14ac:dyDescent="0.25">
      <c r="A58" s="7" t="s">
        <v>259</v>
      </c>
      <c r="B58" s="7" t="s">
        <v>260</v>
      </c>
      <c r="C58" s="7">
        <v>46</v>
      </c>
      <c r="D58" s="7">
        <v>1856</v>
      </c>
      <c r="E58" s="7">
        <v>29</v>
      </c>
      <c r="F58" s="7">
        <v>4</v>
      </c>
      <c r="G58" s="7">
        <v>4.9858103573766199E-3</v>
      </c>
      <c r="H58" s="7">
        <v>3.8196377653122601E-2</v>
      </c>
      <c r="K58" s="28" t="s">
        <v>259</v>
      </c>
      <c r="L58" s="28" t="s">
        <v>260</v>
      </c>
      <c r="M58" s="28">
        <v>46</v>
      </c>
      <c r="N58" s="28">
        <v>1856</v>
      </c>
      <c r="O58" s="28">
        <v>29</v>
      </c>
      <c r="P58" s="28">
        <v>4</v>
      </c>
      <c r="Q58" s="28">
        <v>4.9858103573766199E-3</v>
      </c>
      <c r="R58" s="28">
        <v>3.8196377653122601E-2</v>
      </c>
    </row>
    <row r="59" spans="1:18" x14ac:dyDescent="0.25">
      <c r="A59" s="7" t="s">
        <v>261</v>
      </c>
      <c r="B59" s="7" t="s">
        <v>262</v>
      </c>
      <c r="C59" s="7">
        <v>24</v>
      </c>
      <c r="D59" s="7">
        <v>1856</v>
      </c>
      <c r="E59" s="7">
        <v>29</v>
      </c>
      <c r="F59" s="7">
        <v>3</v>
      </c>
      <c r="G59" s="7">
        <v>5.5705985709579003E-3</v>
      </c>
      <c r="H59" s="7">
        <v>3.9342352407390202E-2</v>
      </c>
      <c r="K59" s="28" t="s">
        <v>261</v>
      </c>
      <c r="L59" s="28" t="s">
        <v>262</v>
      </c>
      <c r="M59" s="28">
        <v>24</v>
      </c>
      <c r="N59" s="28">
        <v>1856</v>
      </c>
      <c r="O59" s="28">
        <v>29</v>
      </c>
      <c r="P59" s="28">
        <v>3</v>
      </c>
      <c r="Q59" s="28">
        <v>5.5705985709579003E-3</v>
      </c>
      <c r="R59" s="28">
        <v>3.9342352407390202E-2</v>
      </c>
    </row>
    <row r="60" spans="1:18" x14ac:dyDescent="0.25">
      <c r="A60" s="7" t="s">
        <v>263</v>
      </c>
      <c r="B60" s="7" t="s">
        <v>264</v>
      </c>
      <c r="C60" s="7">
        <v>24</v>
      </c>
      <c r="D60" s="7">
        <v>1856</v>
      </c>
      <c r="E60" s="7">
        <v>29</v>
      </c>
      <c r="F60" s="7">
        <v>3</v>
      </c>
      <c r="G60" s="7">
        <v>5.5705985709579003E-3</v>
      </c>
      <c r="H60" s="7">
        <v>3.9342352407390202E-2</v>
      </c>
      <c r="K60" s="28" t="s">
        <v>263</v>
      </c>
      <c r="L60" s="28" t="s">
        <v>264</v>
      </c>
      <c r="M60" s="28">
        <v>24</v>
      </c>
      <c r="N60" s="28">
        <v>1856</v>
      </c>
      <c r="O60" s="28">
        <v>29</v>
      </c>
      <c r="P60" s="28">
        <v>3</v>
      </c>
      <c r="Q60" s="28">
        <v>5.5705985709579003E-3</v>
      </c>
      <c r="R60" s="28">
        <v>3.9342352407390202E-2</v>
      </c>
    </row>
    <row r="61" spans="1:18" x14ac:dyDescent="0.25">
      <c r="A61" s="7" t="s">
        <v>265</v>
      </c>
      <c r="B61" s="7" t="s">
        <v>266</v>
      </c>
      <c r="C61" s="7">
        <v>24</v>
      </c>
      <c r="D61" s="7">
        <v>1856</v>
      </c>
      <c r="E61" s="7">
        <v>29</v>
      </c>
      <c r="F61" s="7">
        <v>3</v>
      </c>
      <c r="G61" s="7">
        <v>5.5705985709579003E-3</v>
      </c>
      <c r="H61" s="7">
        <v>3.9342352407390202E-2</v>
      </c>
      <c r="K61" s="28" t="s">
        <v>265</v>
      </c>
      <c r="L61" s="28" t="s">
        <v>266</v>
      </c>
      <c r="M61" s="28">
        <v>24</v>
      </c>
      <c r="N61" s="28">
        <v>1856</v>
      </c>
      <c r="O61" s="28">
        <v>29</v>
      </c>
      <c r="P61" s="28">
        <v>3</v>
      </c>
      <c r="Q61" s="28">
        <v>5.5705985709579003E-3</v>
      </c>
      <c r="R61" s="28">
        <v>3.9342352407390202E-2</v>
      </c>
    </row>
    <row r="62" spans="1:18" x14ac:dyDescent="0.25">
      <c r="A62" s="7" t="s">
        <v>267</v>
      </c>
      <c r="B62" s="7" t="s">
        <v>268</v>
      </c>
      <c r="C62" s="7">
        <v>47</v>
      </c>
      <c r="D62" s="7">
        <v>1856</v>
      </c>
      <c r="E62" s="7">
        <v>29</v>
      </c>
      <c r="F62" s="7">
        <v>4</v>
      </c>
      <c r="G62" s="7">
        <v>5.39086180834762E-3</v>
      </c>
      <c r="H62" s="7">
        <v>3.9342352407390202E-2</v>
      </c>
      <c r="K62" s="28" t="s">
        <v>267</v>
      </c>
      <c r="L62" s="28" t="s">
        <v>268</v>
      </c>
      <c r="M62" s="28">
        <v>47</v>
      </c>
      <c r="N62" s="28">
        <v>1856</v>
      </c>
      <c r="O62" s="28">
        <v>29</v>
      </c>
      <c r="P62" s="28">
        <v>4</v>
      </c>
      <c r="Q62" s="28">
        <v>5.39086180834762E-3</v>
      </c>
      <c r="R62" s="28">
        <v>3.9342352407390202E-2</v>
      </c>
    </row>
    <row r="63" spans="1:18" x14ac:dyDescent="0.25">
      <c r="A63" s="7" t="s">
        <v>269</v>
      </c>
      <c r="B63" s="10" t="s">
        <v>270</v>
      </c>
      <c r="C63" s="7">
        <v>76</v>
      </c>
      <c r="D63" s="7">
        <v>1856</v>
      </c>
      <c r="E63" s="7">
        <v>29</v>
      </c>
      <c r="F63" s="7">
        <v>5</v>
      </c>
      <c r="G63" s="7">
        <v>5.5387397781570102E-3</v>
      </c>
      <c r="H63" s="7">
        <v>3.9342352407390202E-2</v>
      </c>
      <c r="K63" s="28" t="s">
        <v>269</v>
      </c>
      <c r="L63" s="31" t="s">
        <v>270</v>
      </c>
      <c r="M63" s="28">
        <v>76</v>
      </c>
      <c r="N63" s="28">
        <v>1856</v>
      </c>
      <c r="O63" s="28">
        <v>29</v>
      </c>
      <c r="P63" s="28">
        <v>5</v>
      </c>
      <c r="Q63" s="28">
        <v>5.5387397781570102E-3</v>
      </c>
      <c r="R63" s="28">
        <v>3.9342352407390202E-2</v>
      </c>
    </row>
    <row r="64" spans="1:18" x14ac:dyDescent="0.25">
      <c r="A64" s="7" t="s">
        <v>271</v>
      </c>
      <c r="B64" s="7" t="s">
        <v>272</v>
      </c>
      <c r="C64" s="7">
        <v>48</v>
      </c>
      <c r="D64" s="7">
        <v>1856</v>
      </c>
      <c r="E64" s="7">
        <v>29</v>
      </c>
      <c r="F64" s="7">
        <v>4</v>
      </c>
      <c r="G64" s="7">
        <v>5.8175510146019002E-3</v>
      </c>
      <c r="H64" s="7">
        <v>3.9841409978788801E-2</v>
      </c>
      <c r="K64" s="28" t="s">
        <v>271</v>
      </c>
      <c r="L64" s="28" t="s">
        <v>272</v>
      </c>
      <c r="M64" s="28">
        <v>48</v>
      </c>
      <c r="N64" s="28">
        <v>1856</v>
      </c>
      <c r="O64" s="28">
        <v>29</v>
      </c>
      <c r="P64" s="28">
        <v>4</v>
      </c>
      <c r="Q64" s="28">
        <v>5.8175510146019002E-3</v>
      </c>
      <c r="R64" s="28">
        <v>3.9841409978788801E-2</v>
      </c>
    </row>
    <row r="65" spans="1:18" x14ac:dyDescent="0.25">
      <c r="A65" s="7" t="s">
        <v>273</v>
      </c>
      <c r="B65" s="7" t="s">
        <v>274</v>
      </c>
      <c r="C65" s="7">
        <v>48</v>
      </c>
      <c r="D65" s="7">
        <v>1856</v>
      </c>
      <c r="E65" s="7">
        <v>29</v>
      </c>
      <c r="F65" s="7">
        <v>4</v>
      </c>
      <c r="G65" s="7">
        <v>5.8175510146019002E-3</v>
      </c>
      <c r="H65" s="7">
        <v>3.9841409978788801E-2</v>
      </c>
      <c r="K65" s="28" t="s">
        <v>273</v>
      </c>
      <c r="L65" s="28" t="s">
        <v>274</v>
      </c>
      <c r="M65" s="28">
        <v>48</v>
      </c>
      <c r="N65" s="28">
        <v>1856</v>
      </c>
      <c r="O65" s="28">
        <v>29</v>
      </c>
      <c r="P65" s="28">
        <v>4</v>
      </c>
      <c r="Q65" s="28">
        <v>5.8175510146019002E-3</v>
      </c>
      <c r="R65" s="28">
        <v>3.9841409978788801E-2</v>
      </c>
    </row>
    <row r="66" spans="1:18" x14ac:dyDescent="0.25">
      <c r="A66" s="7" t="s">
        <v>275</v>
      </c>
      <c r="B66" s="7" t="s">
        <v>276</v>
      </c>
      <c r="C66" s="7">
        <v>25</v>
      </c>
      <c r="D66" s="7">
        <v>1856</v>
      </c>
      <c r="E66" s="7">
        <v>29</v>
      </c>
      <c r="F66" s="7">
        <v>3</v>
      </c>
      <c r="G66" s="7">
        <v>6.2640396276756197E-3</v>
      </c>
      <c r="H66" s="7">
        <v>4.1033998720425797E-2</v>
      </c>
      <c r="K66" s="28" t="s">
        <v>275</v>
      </c>
      <c r="L66" s="28" t="s">
        <v>276</v>
      </c>
      <c r="M66" s="28">
        <v>25</v>
      </c>
      <c r="N66" s="28">
        <v>1856</v>
      </c>
      <c r="O66" s="28">
        <v>29</v>
      </c>
      <c r="P66" s="28">
        <v>3</v>
      </c>
      <c r="Q66" s="28">
        <v>6.2640396276756197E-3</v>
      </c>
      <c r="R66" s="28">
        <v>4.1033998720425797E-2</v>
      </c>
    </row>
    <row r="67" spans="1:18" x14ac:dyDescent="0.25">
      <c r="A67" s="7" t="s">
        <v>277</v>
      </c>
      <c r="B67" s="7" t="s">
        <v>278</v>
      </c>
      <c r="C67" s="7">
        <v>25</v>
      </c>
      <c r="D67" s="7">
        <v>1856</v>
      </c>
      <c r="E67" s="7">
        <v>29</v>
      </c>
      <c r="F67" s="7">
        <v>3</v>
      </c>
      <c r="G67" s="7">
        <v>6.2640396276756197E-3</v>
      </c>
      <c r="H67" s="7">
        <v>4.1033998720425797E-2</v>
      </c>
      <c r="K67" s="28" t="s">
        <v>277</v>
      </c>
      <c r="L67" s="28" t="s">
        <v>278</v>
      </c>
      <c r="M67" s="28">
        <v>25</v>
      </c>
      <c r="N67" s="28">
        <v>1856</v>
      </c>
      <c r="O67" s="28">
        <v>29</v>
      </c>
      <c r="P67" s="28">
        <v>3</v>
      </c>
      <c r="Q67" s="28">
        <v>6.2640396276756197E-3</v>
      </c>
      <c r="R67" s="28">
        <v>4.1033998720425797E-2</v>
      </c>
    </row>
    <row r="68" spans="1:18" x14ac:dyDescent="0.25">
      <c r="A68" s="7" t="s">
        <v>279</v>
      </c>
      <c r="B68" s="7" t="s">
        <v>280</v>
      </c>
      <c r="C68" s="7">
        <v>78</v>
      </c>
      <c r="D68" s="7">
        <v>1856</v>
      </c>
      <c r="E68" s="7">
        <v>29</v>
      </c>
      <c r="F68" s="7">
        <v>5</v>
      </c>
      <c r="G68" s="7">
        <v>6.1919886405208202E-3</v>
      </c>
      <c r="H68" s="7">
        <v>4.1033998720425797E-2</v>
      </c>
      <c r="K68" s="28" t="s">
        <v>279</v>
      </c>
      <c r="L68" s="28" t="s">
        <v>280</v>
      </c>
      <c r="M68" s="28">
        <v>78</v>
      </c>
      <c r="N68" s="28">
        <v>1856</v>
      </c>
      <c r="O68" s="28">
        <v>29</v>
      </c>
      <c r="P68" s="28">
        <v>5</v>
      </c>
      <c r="Q68" s="28">
        <v>6.1919886405208202E-3</v>
      </c>
      <c r="R68" s="28">
        <v>4.1033998720425797E-2</v>
      </c>
    </row>
    <row r="69" spans="1:18" x14ac:dyDescent="0.25">
      <c r="A69" s="7" t="s">
        <v>281</v>
      </c>
      <c r="B69" s="7" t="s">
        <v>282</v>
      </c>
      <c r="C69" s="7">
        <v>50</v>
      </c>
      <c r="D69" s="7">
        <v>1856</v>
      </c>
      <c r="E69" s="7">
        <v>29</v>
      </c>
      <c r="F69" s="7">
        <v>4</v>
      </c>
      <c r="G69" s="7">
        <v>6.7378921609797396E-3</v>
      </c>
      <c r="H69" s="7">
        <v>4.3507532239469203E-2</v>
      </c>
      <c r="K69" s="28" t="s">
        <v>281</v>
      </c>
      <c r="L69" s="28" t="s">
        <v>282</v>
      </c>
      <c r="M69" s="28">
        <v>50</v>
      </c>
      <c r="N69" s="28">
        <v>1856</v>
      </c>
      <c r="O69" s="28">
        <v>29</v>
      </c>
      <c r="P69" s="28">
        <v>4</v>
      </c>
      <c r="Q69" s="28">
        <v>6.7378921609797396E-3</v>
      </c>
      <c r="R69" s="28">
        <v>4.3507532239469203E-2</v>
      </c>
    </row>
    <row r="70" spans="1:18" x14ac:dyDescent="0.25">
      <c r="A70" s="7" t="s">
        <v>283</v>
      </c>
      <c r="B70" s="7" t="s">
        <v>284</v>
      </c>
      <c r="C70" s="7">
        <v>26</v>
      </c>
      <c r="D70" s="7">
        <v>1856</v>
      </c>
      <c r="E70" s="7">
        <v>29</v>
      </c>
      <c r="F70" s="7">
        <v>3</v>
      </c>
      <c r="G70" s="7">
        <v>7.0070768770852604E-3</v>
      </c>
      <c r="H70" s="7">
        <v>4.3988871506146401E-2</v>
      </c>
      <c r="K70" s="28" t="s">
        <v>283</v>
      </c>
      <c r="L70" s="28" t="s">
        <v>284</v>
      </c>
      <c r="M70" s="28">
        <v>26</v>
      </c>
      <c r="N70" s="28">
        <v>1856</v>
      </c>
      <c r="O70" s="28">
        <v>29</v>
      </c>
      <c r="P70" s="28">
        <v>3</v>
      </c>
      <c r="Q70" s="28">
        <v>7.0070768770852604E-3</v>
      </c>
      <c r="R70" s="28">
        <v>4.3988871506146401E-2</v>
      </c>
    </row>
    <row r="71" spans="1:18" x14ac:dyDescent="0.25">
      <c r="A71" s="7" t="s">
        <v>285</v>
      </c>
      <c r="B71" s="7" t="s">
        <v>286</v>
      </c>
      <c r="C71" s="7">
        <v>26</v>
      </c>
      <c r="D71" s="7">
        <v>1856</v>
      </c>
      <c r="E71" s="7">
        <v>29</v>
      </c>
      <c r="F71" s="7">
        <v>3</v>
      </c>
      <c r="G71" s="7">
        <v>7.0070768770852604E-3</v>
      </c>
      <c r="H71" s="7">
        <v>4.3988871506146401E-2</v>
      </c>
      <c r="K71" s="28" t="s">
        <v>285</v>
      </c>
      <c r="L71" s="28" t="s">
        <v>286</v>
      </c>
      <c r="M71" s="28">
        <v>26</v>
      </c>
      <c r="N71" s="28">
        <v>1856</v>
      </c>
      <c r="O71" s="28">
        <v>29</v>
      </c>
      <c r="P71" s="28">
        <v>3</v>
      </c>
      <c r="Q71" s="28">
        <v>7.0070768770852604E-3</v>
      </c>
      <c r="R71" s="28">
        <v>4.3988871506146401E-2</v>
      </c>
    </row>
    <row r="72" spans="1:18" x14ac:dyDescent="0.25">
      <c r="A72" s="7" t="s">
        <v>287</v>
      </c>
      <c r="B72" s="7" t="s">
        <v>288</v>
      </c>
      <c r="C72" s="7">
        <v>51</v>
      </c>
      <c r="D72" s="7">
        <v>1856</v>
      </c>
      <c r="E72" s="7">
        <v>29</v>
      </c>
      <c r="F72" s="7">
        <v>4</v>
      </c>
      <c r="G72" s="7">
        <v>7.2325437549320597E-3</v>
      </c>
      <c r="H72" s="7">
        <v>4.4782325715469702E-2</v>
      </c>
      <c r="K72" s="28" t="s">
        <v>287</v>
      </c>
      <c r="L72" s="28" t="s">
        <v>288</v>
      </c>
      <c r="M72" s="28">
        <v>51</v>
      </c>
      <c r="N72" s="28">
        <v>1856</v>
      </c>
      <c r="O72" s="28">
        <v>29</v>
      </c>
      <c r="P72" s="28">
        <v>4</v>
      </c>
      <c r="Q72" s="28">
        <v>7.2325437549320597E-3</v>
      </c>
      <c r="R72" s="28">
        <v>4.4782325715469702E-2</v>
      </c>
    </row>
    <row r="73" spans="1:18" x14ac:dyDescent="0.25">
      <c r="A73" s="7" t="s">
        <v>289</v>
      </c>
      <c r="B73" s="7" t="s">
        <v>290</v>
      </c>
      <c r="C73" s="7">
        <v>27</v>
      </c>
      <c r="D73" s="7">
        <v>1856</v>
      </c>
      <c r="E73" s="7">
        <v>29</v>
      </c>
      <c r="F73" s="7">
        <v>3</v>
      </c>
      <c r="G73" s="7">
        <v>7.8005973494511402E-3</v>
      </c>
      <c r="H73" s="7">
        <v>4.5379827121217998E-2</v>
      </c>
      <c r="K73" s="28" t="s">
        <v>289</v>
      </c>
      <c r="L73" s="28" t="s">
        <v>290</v>
      </c>
      <c r="M73" s="28">
        <v>27</v>
      </c>
      <c r="N73" s="28">
        <v>1856</v>
      </c>
      <c r="O73" s="28">
        <v>29</v>
      </c>
      <c r="P73" s="28">
        <v>3</v>
      </c>
      <c r="Q73" s="28">
        <v>7.8005973494511402E-3</v>
      </c>
      <c r="R73" s="28">
        <v>4.5379827121217998E-2</v>
      </c>
    </row>
    <row r="74" spans="1:18" x14ac:dyDescent="0.25">
      <c r="A74" s="7" t="s">
        <v>291</v>
      </c>
      <c r="B74" s="7" t="s">
        <v>292</v>
      </c>
      <c r="C74" s="7">
        <v>27</v>
      </c>
      <c r="D74" s="7">
        <v>1856</v>
      </c>
      <c r="E74" s="7">
        <v>29</v>
      </c>
      <c r="F74" s="7">
        <v>3</v>
      </c>
      <c r="G74" s="7">
        <v>7.8005973494511402E-3</v>
      </c>
      <c r="H74" s="7">
        <v>4.5379827121217998E-2</v>
      </c>
      <c r="K74" s="28" t="s">
        <v>291</v>
      </c>
      <c r="L74" s="28" t="s">
        <v>292</v>
      </c>
      <c r="M74" s="28">
        <v>27</v>
      </c>
      <c r="N74" s="28">
        <v>1856</v>
      </c>
      <c r="O74" s="28">
        <v>29</v>
      </c>
      <c r="P74" s="28">
        <v>3</v>
      </c>
      <c r="Q74" s="28">
        <v>7.8005973494511402E-3</v>
      </c>
      <c r="R74" s="28">
        <v>4.5379827121217998E-2</v>
      </c>
    </row>
    <row r="75" spans="1:18" x14ac:dyDescent="0.25">
      <c r="A75" s="7" t="s">
        <v>293</v>
      </c>
      <c r="B75" s="7" t="s">
        <v>294</v>
      </c>
      <c r="C75" s="7">
        <v>82</v>
      </c>
      <c r="D75" s="7">
        <v>1856</v>
      </c>
      <c r="E75" s="7">
        <v>29</v>
      </c>
      <c r="F75" s="7">
        <v>5</v>
      </c>
      <c r="G75" s="7">
        <v>7.6599109449783601E-3</v>
      </c>
      <c r="H75" s="7">
        <v>4.5379827121217998E-2</v>
      </c>
      <c r="K75" s="28" t="s">
        <v>293</v>
      </c>
      <c r="L75" s="28" t="s">
        <v>294</v>
      </c>
      <c r="M75" s="28">
        <v>82</v>
      </c>
      <c r="N75" s="28">
        <v>1856</v>
      </c>
      <c r="O75" s="28">
        <v>29</v>
      </c>
      <c r="P75" s="28">
        <v>5</v>
      </c>
      <c r="Q75" s="28">
        <v>7.6599109449783601E-3</v>
      </c>
      <c r="R75" s="28">
        <v>4.5379827121217998E-2</v>
      </c>
    </row>
    <row r="76" spans="1:18" x14ac:dyDescent="0.25">
      <c r="A76" s="7" t="s">
        <v>295</v>
      </c>
      <c r="B76" s="7" t="s">
        <v>296</v>
      </c>
      <c r="C76" s="7">
        <v>53</v>
      </c>
      <c r="D76" s="7">
        <v>1856</v>
      </c>
      <c r="E76" s="7">
        <v>29</v>
      </c>
      <c r="F76" s="7">
        <v>4</v>
      </c>
      <c r="G76" s="7">
        <v>8.2932294313805104E-3</v>
      </c>
      <c r="H76" s="7">
        <v>4.6856746287299897E-2</v>
      </c>
      <c r="K76" s="28" t="s">
        <v>295</v>
      </c>
      <c r="L76" s="28" t="s">
        <v>296</v>
      </c>
      <c r="M76" s="28">
        <v>53</v>
      </c>
      <c r="N76" s="28">
        <v>1856</v>
      </c>
      <c r="O76" s="28">
        <v>29</v>
      </c>
      <c r="P76" s="28">
        <v>4</v>
      </c>
      <c r="Q76" s="28">
        <v>8.2932294313805104E-3</v>
      </c>
      <c r="R76" s="28">
        <v>4.6856746287299897E-2</v>
      </c>
    </row>
    <row r="77" spans="1:18" x14ac:dyDescent="0.25">
      <c r="A77" s="7" t="s">
        <v>297</v>
      </c>
      <c r="B77" s="7" t="s">
        <v>298</v>
      </c>
      <c r="C77" s="7">
        <v>28</v>
      </c>
      <c r="D77" s="7">
        <v>1856</v>
      </c>
      <c r="E77" s="7">
        <v>29</v>
      </c>
      <c r="F77" s="7">
        <v>3</v>
      </c>
      <c r="G77" s="7">
        <v>8.64541681615957E-3</v>
      </c>
      <c r="H77" s="7">
        <v>4.8243560504989201E-2</v>
      </c>
      <c r="K77" s="28" t="s">
        <v>297</v>
      </c>
      <c r="L77" s="28" t="s">
        <v>298</v>
      </c>
      <c r="M77" s="28">
        <v>28</v>
      </c>
      <c r="N77" s="28">
        <v>1856</v>
      </c>
      <c r="O77" s="28">
        <v>29</v>
      </c>
      <c r="P77" s="28">
        <v>3</v>
      </c>
      <c r="Q77" s="28">
        <v>8.64541681615957E-3</v>
      </c>
      <c r="R77" s="28">
        <v>4.8243560504989201E-2</v>
      </c>
    </row>
    <row r="78" spans="1:18" x14ac:dyDescent="0.25">
      <c r="A78" s="7" t="s">
        <v>299</v>
      </c>
      <c r="B78" s="7" t="s">
        <v>300</v>
      </c>
      <c r="C78" s="7">
        <v>54</v>
      </c>
      <c r="D78" s="7">
        <v>1856</v>
      </c>
      <c r="E78" s="7">
        <v>29</v>
      </c>
      <c r="F78" s="7">
        <v>4</v>
      </c>
      <c r="G78" s="7">
        <v>8.8601989634701697E-3</v>
      </c>
      <c r="H78" s="7">
        <v>4.8526282040236103E-2</v>
      </c>
      <c r="K78" s="28" t="s">
        <v>299</v>
      </c>
      <c r="L78" s="28" t="s">
        <v>300</v>
      </c>
      <c r="M78" s="28">
        <v>54</v>
      </c>
      <c r="N78" s="28">
        <v>1856</v>
      </c>
      <c r="O78" s="28">
        <v>29</v>
      </c>
      <c r="P78" s="28">
        <v>4</v>
      </c>
      <c r="Q78" s="28">
        <v>8.8601989634701697E-3</v>
      </c>
      <c r="R78" s="28">
        <v>4.8526282040236103E-2</v>
      </c>
    </row>
    <row r="79" spans="1:18" x14ac:dyDescent="0.25">
      <c r="A79" s="7" t="s">
        <v>301</v>
      </c>
      <c r="B79" s="7" t="s">
        <v>302</v>
      </c>
      <c r="C79" s="7">
        <v>85</v>
      </c>
      <c r="D79" s="7">
        <v>1856</v>
      </c>
      <c r="E79" s="7">
        <v>29</v>
      </c>
      <c r="F79" s="7">
        <v>5</v>
      </c>
      <c r="G79" s="7">
        <v>8.9107995781849501E-3</v>
      </c>
      <c r="H79" s="7">
        <v>4.8526282040236103E-2</v>
      </c>
      <c r="K79" s="28" t="s">
        <v>301</v>
      </c>
      <c r="L79" s="28" t="s">
        <v>302</v>
      </c>
      <c r="M79" s="28">
        <v>85</v>
      </c>
      <c r="N79" s="28">
        <v>1856</v>
      </c>
      <c r="O79" s="28">
        <v>29</v>
      </c>
      <c r="P79" s="28">
        <v>5</v>
      </c>
      <c r="Q79" s="28">
        <v>8.9107995781849501E-3</v>
      </c>
      <c r="R79" s="28">
        <v>4.8526282040236103E-2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MetaboA</vt:lpstr>
      <vt:lpstr>MetaboAList</vt:lpstr>
      <vt:lpstr>MetaboAPathwayList</vt:lpstr>
      <vt:lpstr>RAMP-DB</vt:lpstr>
      <vt:lpstr>IDSL.GOA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2026-07-02T10:52:22Z</dcterms:created>
  <dcterms:modified xsi:type="dcterms:W3CDTF">2026-07-30T10:48:40Z</dcterms:modified>
</cp:coreProperties>
</file>